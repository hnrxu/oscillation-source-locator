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13_ncr:1_{72BB660D-5085-F54E-9A07-86D2BAD2734A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" i="1" l="1" a="1"/>
  <c r="AG10" i="1" s="1"/>
  <c r="AF10" i="1" a="1"/>
  <c r="AF10" i="1" s="1"/>
  <c r="AE10" i="1" a="1"/>
  <c r="AE10" i="1" s="1"/>
  <c r="AD10" i="1" a="1"/>
  <c r="AD10" i="1" s="1"/>
  <c r="AC10" i="1" a="1"/>
  <c r="AC10" i="1" s="1"/>
  <c r="AB10" i="1" a="1"/>
  <c r="AB10" i="1" s="1"/>
  <c r="AA10" i="1" a="1"/>
  <c r="AA10" i="1" s="1"/>
  <c r="Z10" i="1" a="1"/>
  <c r="Z10" i="1" s="1"/>
  <c r="Y10" i="1" a="1"/>
  <c r="Y10" i="1" s="1"/>
  <c r="X10" i="1" a="1"/>
  <c r="X10" i="1" s="1"/>
  <c r="W10" i="1" a="1"/>
  <c r="W10" i="1" s="1"/>
  <c r="V10" i="1" a="1"/>
  <c r="V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<sst xmlns="http://schemas.openxmlformats.org/spreadsheetml/2006/main" count="64" uniqueCount="45">
  <si>
    <t>Location</t>
  </si>
  <si>
    <t>Sub:1:Ln:1</t>
  </si>
  <si>
    <t>Signal</t>
  </si>
  <si>
    <t>Time</t>
  </si>
  <si>
    <t>FVM</t>
  </si>
  <si>
    <t>IH1VM</t>
  </si>
  <si>
    <t>IH2VM</t>
  </si>
  <si>
    <t>FVA</t>
  </si>
  <si>
    <t>IH1VA</t>
  </si>
  <si>
    <t>IH2VA</t>
  </si>
  <si>
    <t>Vih1m</t>
  </si>
  <si>
    <t>Vih2m</t>
  </si>
  <si>
    <t>Vih3m</t>
  </si>
  <si>
    <t>Vih1a</t>
  </si>
  <si>
    <t>Vih2a</t>
  </si>
  <si>
    <t>Vih3a</t>
  </si>
  <si>
    <t>Iih1m</t>
  </si>
  <si>
    <t>Iih2m</t>
  </si>
  <si>
    <t>Iih3m</t>
  </si>
  <si>
    <t>Iih1a</t>
  </si>
  <si>
    <t>Iih2a</t>
  </si>
  <si>
    <t>Iih3a</t>
  </si>
  <si>
    <t>x</t>
  </si>
  <si>
    <t>Voltage</t>
  </si>
  <si>
    <t>Current</t>
  </si>
  <si>
    <t>Magnitude (%)</t>
  </si>
  <si>
    <t>F1</t>
  </si>
  <si>
    <t>IH1</t>
  </si>
  <si>
    <t>IH2</t>
  </si>
  <si>
    <t>Error - Case 1 WF23</t>
  </si>
  <si>
    <t>Angle (%)</t>
  </si>
  <si>
    <t>FIM</t>
  </si>
  <si>
    <t>IH1IM</t>
  </si>
  <si>
    <t>IH2IM</t>
  </si>
  <si>
    <t>FIA</t>
  </si>
  <si>
    <t>IH1IA</t>
  </si>
  <si>
    <t>IH2IA</t>
  </si>
  <si>
    <t>FS</t>
  </si>
  <si>
    <t>FP</t>
  </si>
  <si>
    <t>IH1P</t>
  </si>
  <si>
    <t>IH2P</t>
  </si>
  <si>
    <t>S1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</si>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</sst>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0" fontId="1" fillId="9" borderId="3" xfId="0" applyFont="1" applyFill="1" applyBorder="1"/>
    <xf numFmtId="11" fontId="0" fillId="4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5" fontId="0" fillId="5" borderId="0" xfId="0" applyNumberFormat="1" applyFill="1" applyAlignment="1">
      <alignment horizontal="left"/>
    </xf>
    <xf numFmtId="164" fontId="0" fillId="8" borderId="0" xfId="0" applyNumberFormat="1" applyFill="1" applyAlignment="1">
      <alignment horizontal="left"/>
    </xf>
    <xf numFmtId="164" fontId="0" fillId="9" borderId="0" xfId="0" applyNumberFormat="1" applyFill="1" applyAlignment="1">
      <alignment horizontal="left"/>
    </xf>
    <xf numFmtId="11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165" fontId="0" fillId="0" borderId="0" xfId="0" applyNumberFormat="1" applyFill="1" applyAlignment="1">
      <alignment horizontal="left"/>
    </xf>
    <xf numFmtId="164" fontId="0" fillId="0" borderId="3" xfId="0" applyNumberFormat="1" applyFill="1" applyBorder="1" applyAlignment="1">
      <alignment horizontal="left"/>
    </xf>
    <xf numFmtId="11" fontId="0" fillId="0" borderId="4" xfId="0" applyNumberFormat="1" applyFill="1" applyBorder="1" applyAlignment="1">
      <alignment horizontal="left"/>
    </xf>
    <xf numFmtId="164" fontId="0" fillId="0" borderId="4" xfId="0" applyNumberFormat="1" applyFill="1" applyBorder="1" applyAlignment="1">
      <alignment horizontal="left"/>
    </xf>
    <xf numFmtId="166" fontId="0" fillId="0" borderId="4" xfId="0" applyNumberFormat="1" applyFill="1" applyBorder="1" applyAlignment="1">
      <alignment horizontal="left"/>
    </xf>
    <xf numFmtId="165" fontId="0" fillId="0" borderId="4" xfId="0" applyNumberFormat="1" applyFill="1" applyBorder="1" applyAlignment="1">
      <alignment horizontal="left"/>
    </xf>
    <xf numFmtId="164" fontId="0" fillId="0" borderId="5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Magnitude F1 Calc</a:t>
            </a:r>
            <a:r>
              <a:rPr lang="en-US" baseline="0"/>
              <a:t> vs True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FVM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Sheet1!$C$3:$C$20</c:f>
              <c:numCache>
                <c:formatCode>General</c:formatCode>
                <c:ptCount val="18"/>
                <c:pt idx="1">
                  <c:v>72.41249780129543</c:v>
                </c:pt>
                <c:pt idx="2">
                  <c:v>72.410415775911645</c:v>
                </c:pt>
                <c:pt idx="3">
                  <c:v>72.427566342059507</c:v>
                </c:pt>
                <c:pt idx="4">
                  <c:v>72.413706985186181</c:v>
                </c:pt>
                <c:pt idx="5">
                  <c:v>72.413656109350185</c:v>
                </c:pt>
                <c:pt idx="6">
                  <c:v>72.421828091524944</c:v>
                </c:pt>
                <c:pt idx="7">
                  <c:v>72.440238172480647</c:v>
                </c:pt>
                <c:pt idx="8">
                  <c:v>72.39861543726164</c:v>
                </c:pt>
                <c:pt idx="9">
                  <c:v>72.359276235629736</c:v>
                </c:pt>
                <c:pt idx="10">
                  <c:v>72.426632612530113</c:v>
                </c:pt>
                <c:pt idx="11">
                  <c:v>72.422228112081143</c:v>
                </c:pt>
                <c:pt idx="12">
                  <c:v>72.410372339405328</c:v>
                </c:pt>
                <c:pt idx="13">
                  <c:v>72.427537888861877</c:v>
                </c:pt>
                <c:pt idx="14">
                  <c:v>72.428280137093424</c:v>
                </c:pt>
                <c:pt idx="15">
                  <c:v>72.439136535599246</c:v>
                </c:pt>
                <c:pt idx="16">
                  <c:v>72.389842123323433</c:v>
                </c:pt>
                <c:pt idx="17">
                  <c:v>72.380209688826696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2-9B4E-930B-02628C6839F7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Vih1m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Sheet1!$D$3:$D$20</c:f>
              <c:numCache>
                <c:formatCode>General</c:formatCode>
                <c:ptCount val="18"/>
                <c:pt idx="1">
                  <c:v>72.412470255953451</c:v>
                </c:pt>
                <c:pt idx="2">
                  <c:v>72.410291377426617</c:v>
                </c:pt>
                <c:pt idx="3">
                  <c:v>72.427886149070289</c:v>
                </c:pt>
                <c:pt idx="4">
                  <c:v>72.413280970509362</c:v>
                </c:pt>
                <c:pt idx="5">
                  <c:v>72.413064502612087</c:v>
                </c:pt>
                <c:pt idx="6">
                  <c:v>72.421352158890372</c:v>
                </c:pt>
                <c:pt idx="7">
                  <c:v>72.441172915726938</c:v>
                </c:pt>
                <c:pt idx="8">
                  <c:v>72.398933249099301</c:v>
                </c:pt>
                <c:pt idx="9">
                  <c:v>72.356077045145682</c:v>
                </c:pt>
                <c:pt idx="10">
                  <c:v>72.4069140850183</c:v>
                </c:pt>
                <c:pt idx="11">
                  <c:v>72.419030596807374</c:v>
                </c:pt>
                <c:pt idx="12">
                  <c:v>72.409973932357914</c:v>
                </c:pt>
                <c:pt idx="13">
                  <c:v>72.425000689240278</c:v>
                </c:pt>
                <c:pt idx="14">
                  <c:v>72.420027180099694</c:v>
                </c:pt>
                <c:pt idx="15">
                  <c:v>72.434510071158087</c:v>
                </c:pt>
                <c:pt idx="16">
                  <c:v>72.385885787369347</c:v>
                </c:pt>
                <c:pt idx="17">
                  <c:v>72.364522208852861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2-9B4E-930B-02628C68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951519"/>
        <c:axId val="1945723583"/>
      </c:lineChart>
      <c:catAx>
        <c:axId val="212395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23583"/>
        <c:crosses val="autoZero"/>
        <c:auto val="1"/>
        <c:lblAlgn val="ctr"/>
        <c:lblOffset val="100"/>
        <c:noMultiLvlLbl val="0"/>
      </c:catAx>
      <c:valAx>
        <c:axId val="19457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Magnitude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IH1VM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Sheet1!$F$3:$F$20</c:f>
              <c:numCache>
                <c:formatCode>General</c:formatCode>
                <c:ptCount val="18"/>
                <c:pt idx="1">
                  <c:v>0.82990057179440158</c:v>
                </c:pt>
                <c:pt idx="2">
                  <c:v>1.410640669668604</c:v>
                </c:pt>
                <c:pt idx="3">
                  <c:v>1.4286670254244169</c:v>
                </c:pt>
                <c:pt idx="4">
                  <c:v>1.2782200858906221</c:v>
                </c:pt>
                <c:pt idx="5">
                  <c:v>0.39465729162582702</c:v>
                </c:pt>
                <c:pt idx="6">
                  <c:v>0.56005576491625986</c:v>
                </c:pt>
                <c:pt idx="7">
                  <c:v>1.03597080567735</c:v>
                </c:pt>
                <c:pt idx="8">
                  <c:v>1.7339026554231669</c:v>
                </c:pt>
                <c:pt idx="9">
                  <c:v>1.4789224785290811</c:v>
                </c:pt>
                <c:pt idx="10">
                  <c:v>0.6582179196872856</c:v>
                </c:pt>
                <c:pt idx="11">
                  <c:v>1.205951472646392</c:v>
                </c:pt>
                <c:pt idx="12">
                  <c:v>0.81655329695064949</c:v>
                </c:pt>
                <c:pt idx="13">
                  <c:v>0.91684335391680072</c:v>
                </c:pt>
                <c:pt idx="14">
                  <c:v>0.55572470222082493</c:v>
                </c:pt>
                <c:pt idx="15">
                  <c:v>0.81430665020469128</c:v>
                </c:pt>
                <c:pt idx="16">
                  <c:v>1.4048049544674039</c:v>
                </c:pt>
                <c:pt idx="17">
                  <c:v>1.632166449172382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4-B541-8D97-8CF25128E669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Vih2m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Sheet1!$G$3:$G$20</c:f>
              <c:numCache>
                <c:formatCode>General</c:formatCode>
                <c:ptCount val="18"/>
                <c:pt idx="1">
                  <c:v>0.82963100365948061</c:v>
                </c:pt>
                <c:pt idx="2">
                  <c:v>1.4115234836540376</c:v>
                </c:pt>
                <c:pt idx="3">
                  <c:v>1.4281731461061902</c:v>
                </c:pt>
                <c:pt idx="4">
                  <c:v>1.2784342836560652</c:v>
                </c:pt>
                <c:pt idx="5">
                  <c:v>0.39463510020421366</c:v>
                </c:pt>
                <c:pt idx="6">
                  <c:v>0.55966500867053059</c:v>
                </c:pt>
                <c:pt idx="7">
                  <c:v>1.0336733267377585</c:v>
                </c:pt>
                <c:pt idx="8">
                  <c:v>1.7340030085198486</c:v>
                </c:pt>
                <c:pt idx="9">
                  <c:v>1.6226126273578791</c:v>
                </c:pt>
                <c:pt idx="10">
                  <c:v>0.65366070308835122</c:v>
                </c:pt>
                <c:pt idx="11">
                  <c:v>1.1829155619479648</c:v>
                </c:pt>
                <c:pt idx="12">
                  <c:v>0.82239801307723759</c:v>
                </c:pt>
                <c:pt idx="13">
                  <c:v>0.95279626541244888</c:v>
                </c:pt>
                <c:pt idx="14">
                  <c:v>0.83547092318234828</c:v>
                </c:pt>
                <c:pt idx="15">
                  <c:v>0.69768455679525543</c:v>
                </c:pt>
                <c:pt idx="16">
                  <c:v>1.4040678170941547</c:v>
                </c:pt>
                <c:pt idx="17">
                  <c:v>1.7599778995658479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4-B541-8D97-8CF25128E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648911"/>
        <c:axId val="1995650623"/>
      </c:lineChart>
      <c:catAx>
        <c:axId val="1995648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50623"/>
        <c:crosses val="autoZero"/>
        <c:auto val="1"/>
        <c:lblAlgn val="ctr"/>
        <c:lblOffset val="100"/>
        <c:noMultiLvlLbl val="0"/>
      </c:catAx>
      <c:valAx>
        <c:axId val="19956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4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Magnitude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IH2VM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Sheet1!$I$3:$I$20</c:f>
              <c:numCache>
                <c:formatCode>General</c:formatCode>
                <c:ptCount val="18"/>
                <c:pt idx="1">
                  <c:v>1.0725374770704099</c:v>
                </c:pt>
                <c:pt idx="2">
                  <c:v>1.7445073754552769</c:v>
                </c:pt>
                <c:pt idx="3">
                  <c:v>2.2781602596773971</c:v>
                </c:pt>
                <c:pt idx="4">
                  <c:v>2.6012588314883041</c:v>
                </c:pt>
                <c:pt idx="5">
                  <c:v>1.980220727672652</c:v>
                </c:pt>
                <c:pt idx="6">
                  <c:v>1.3572004711973329</c:v>
                </c:pt>
                <c:pt idx="7">
                  <c:v>2.0937413399954838</c:v>
                </c:pt>
                <c:pt idx="8">
                  <c:v>2.9480449203963222</c:v>
                </c:pt>
                <c:pt idx="9">
                  <c:v>2.7159033610248469</c:v>
                </c:pt>
                <c:pt idx="10">
                  <c:v>1.2378474179067109</c:v>
                </c:pt>
                <c:pt idx="11">
                  <c:v>1.5618558241135301</c:v>
                </c:pt>
                <c:pt idx="12">
                  <c:v>2.0366881929048679</c:v>
                </c:pt>
                <c:pt idx="13">
                  <c:v>2.4917294260878831</c:v>
                </c:pt>
                <c:pt idx="14">
                  <c:v>2.2919409654601881</c:v>
                </c:pt>
                <c:pt idx="15">
                  <c:v>1.2396164654506121</c:v>
                </c:pt>
                <c:pt idx="16">
                  <c:v>1.648507073199059</c:v>
                </c:pt>
                <c:pt idx="17">
                  <c:v>2.133332018991978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3-1C45-A298-0194621CF2BB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Vih3m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Sheet1!$J$3:$J$20</c:f>
              <c:numCache>
                <c:formatCode>General</c:formatCode>
                <c:ptCount val="18"/>
                <c:pt idx="1">
                  <c:v>1.0710110174471548</c:v>
                </c:pt>
                <c:pt idx="2">
                  <c:v>1.7439113214406501</c:v>
                </c:pt>
                <c:pt idx="3">
                  <c:v>2.2781802017065904</c:v>
                </c:pt>
                <c:pt idx="4">
                  <c:v>2.6011076009222052</c:v>
                </c:pt>
                <c:pt idx="5">
                  <c:v>1.9807012846704359</c:v>
                </c:pt>
                <c:pt idx="6">
                  <c:v>1.3585773625275037</c:v>
                </c:pt>
                <c:pt idx="7">
                  <c:v>2.0961207365124981</c:v>
                </c:pt>
                <c:pt idx="8">
                  <c:v>2.9476310873743556</c:v>
                </c:pt>
                <c:pt idx="9">
                  <c:v>2.9387571421585252</c:v>
                </c:pt>
                <c:pt idx="10">
                  <c:v>1.7557470298806548</c:v>
                </c:pt>
                <c:pt idx="11">
                  <c:v>1.7837164877924172</c:v>
                </c:pt>
                <c:pt idx="12">
                  <c:v>2.0587090427904911</c:v>
                </c:pt>
                <c:pt idx="13">
                  <c:v>2.5339538286236434</c:v>
                </c:pt>
                <c:pt idx="14">
                  <c:v>2.5636456731776862</c:v>
                </c:pt>
                <c:pt idx="15">
                  <c:v>1.4877418472660919</c:v>
                </c:pt>
                <c:pt idx="16">
                  <c:v>1.9293066018930745</c:v>
                </c:pt>
                <c:pt idx="17">
                  <c:v>2.451170640518102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3-1C45-A298-0194621CF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745087"/>
        <c:axId val="1524987488"/>
      </c:lineChart>
      <c:catAx>
        <c:axId val="210374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87488"/>
        <c:crosses val="autoZero"/>
        <c:auto val="1"/>
        <c:lblAlgn val="ctr"/>
        <c:lblOffset val="100"/>
        <c:noMultiLvlLbl val="0"/>
      </c:catAx>
      <c:valAx>
        <c:axId val="15249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4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Angle F1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FVA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Sheet1!$L$3:$L$20</c:f>
              <c:numCache>
                <c:formatCode>General</c:formatCode>
                <c:ptCount val="18"/>
                <c:pt idx="1">
                  <c:v>93.575000137866098</c:v>
                </c:pt>
                <c:pt idx="2">
                  <c:v>88.759414240002769</c:v>
                </c:pt>
                <c:pt idx="3">
                  <c:v>84.381716096050866</c:v>
                </c:pt>
                <c:pt idx="4">
                  <c:v>80.556137244001221</c:v>
                </c:pt>
                <c:pt idx="5">
                  <c:v>78.296144166631166</c:v>
                </c:pt>
                <c:pt idx="6">
                  <c:v>76.596529321407615</c:v>
                </c:pt>
                <c:pt idx="7">
                  <c:v>74.428115134890874</c:v>
                </c:pt>
                <c:pt idx="8">
                  <c:v>71.408282695624365</c:v>
                </c:pt>
                <c:pt idx="9">
                  <c:v>65.347525723137935</c:v>
                </c:pt>
                <c:pt idx="10">
                  <c:v>59.120951408966697</c:v>
                </c:pt>
                <c:pt idx="11">
                  <c:v>54.532225382818353</c:v>
                </c:pt>
                <c:pt idx="12">
                  <c:v>52.451359898494587</c:v>
                </c:pt>
                <c:pt idx="13">
                  <c:v>51.616878363193663</c:v>
                </c:pt>
                <c:pt idx="14">
                  <c:v>50.073470996897363</c:v>
                </c:pt>
                <c:pt idx="15">
                  <c:v>47.379482886217112</c:v>
                </c:pt>
                <c:pt idx="16">
                  <c:v>42.681621557073662</c:v>
                </c:pt>
                <c:pt idx="17">
                  <c:v>37.593800232562003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0-3B4E-AC7D-CFB9169E7D22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Vih1a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Sheet1!$M$3:$M$20</c:f>
              <c:numCache>
                <c:formatCode>General</c:formatCode>
                <c:ptCount val="18"/>
                <c:pt idx="1">
                  <c:v>93.571887995196604</c:v>
                </c:pt>
                <c:pt idx="2">
                  <c:v>88.759172580443732</c:v>
                </c:pt>
                <c:pt idx="3">
                  <c:v>84.377498817288284</c:v>
                </c:pt>
                <c:pt idx="4">
                  <c:v>80.55568743311828</c:v>
                </c:pt>
                <c:pt idx="5">
                  <c:v>78.296163447199618</c:v>
                </c:pt>
                <c:pt idx="6">
                  <c:v>76.596250472680083</c:v>
                </c:pt>
                <c:pt idx="7">
                  <c:v>74.423199007213341</c:v>
                </c:pt>
                <c:pt idx="8">
                  <c:v>71.405808701951955</c:v>
                </c:pt>
                <c:pt idx="9">
                  <c:v>65.527921548569665</c:v>
                </c:pt>
                <c:pt idx="10">
                  <c:v>59.529441953805495</c:v>
                </c:pt>
                <c:pt idx="11">
                  <c:v>54.730106371715664</c:v>
                </c:pt>
                <c:pt idx="12">
                  <c:v>52.464845854181497</c:v>
                </c:pt>
                <c:pt idx="13">
                  <c:v>51.652322624674916</c:v>
                </c:pt>
                <c:pt idx="14">
                  <c:v>50.290027576076525</c:v>
                </c:pt>
                <c:pt idx="15">
                  <c:v>47.576400250164653</c:v>
                </c:pt>
                <c:pt idx="16">
                  <c:v>42.941123263529583</c:v>
                </c:pt>
                <c:pt idx="17">
                  <c:v>37.887352720515118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0-3B4E-AC7D-CFB9169E7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145248"/>
        <c:axId val="599027423"/>
      </c:lineChart>
      <c:catAx>
        <c:axId val="9901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27423"/>
        <c:crosses val="autoZero"/>
        <c:auto val="1"/>
        <c:lblAlgn val="ctr"/>
        <c:lblOffset val="100"/>
        <c:noMultiLvlLbl val="0"/>
      </c:catAx>
      <c:valAx>
        <c:axId val="59902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Angle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IH1VA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Sheet1!$O$3:$O$20</c:f>
              <c:numCache>
                <c:formatCode>General</c:formatCode>
                <c:ptCount val="18"/>
                <c:pt idx="1">
                  <c:v>-59.801212187878733</c:v>
                </c:pt>
                <c:pt idx="2">
                  <c:v>-81.723916729969091</c:v>
                </c:pt>
                <c:pt idx="3">
                  <c:v>-108.5928429887332</c:v>
                </c:pt>
                <c:pt idx="4">
                  <c:v>-138.27077491093539</c:v>
                </c:pt>
                <c:pt idx="5">
                  <c:v>167.57523192243991</c:v>
                </c:pt>
                <c:pt idx="6">
                  <c:v>-58.357976033985352</c:v>
                </c:pt>
                <c:pt idx="7">
                  <c:v>-103.5772964761709</c:v>
                </c:pt>
                <c:pt idx="8">
                  <c:v>-121.4313843701761</c:v>
                </c:pt>
                <c:pt idx="9">
                  <c:v>-141.66284544844609</c:v>
                </c:pt>
                <c:pt idx="10">
                  <c:v>-86.126939779743523</c:v>
                </c:pt>
                <c:pt idx="11">
                  <c:v>-104.7727736125793</c:v>
                </c:pt>
                <c:pt idx="12">
                  <c:v>-142.67903327920999</c:v>
                </c:pt>
                <c:pt idx="13">
                  <c:v>179.34326345065779</c:v>
                </c:pt>
                <c:pt idx="14">
                  <c:v>148.03293438820899</c:v>
                </c:pt>
                <c:pt idx="15">
                  <c:v>-86.810028626913578</c:v>
                </c:pt>
                <c:pt idx="16">
                  <c:v>-120.152616714465</c:v>
                </c:pt>
                <c:pt idx="17">
                  <c:v>-144.7680865342123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B-0243-8074-1116B145C284}"/>
            </c:ext>
          </c:extLst>
        </c:ser>
        <c:ser>
          <c:idx val="1"/>
          <c:order val="1"/>
          <c:tx>
            <c:strRef>
              <c:f>Sheet1!$P$2</c:f>
              <c:strCache>
                <c:ptCount val="1"/>
                <c:pt idx="0">
                  <c:v>Vih2a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Sheet1!$P$3:$P$20</c:f>
              <c:numCache>
                <c:formatCode>General</c:formatCode>
                <c:ptCount val="18"/>
                <c:pt idx="1">
                  <c:v>-59.699746175889487</c:v>
                </c:pt>
                <c:pt idx="2">
                  <c:v>-81.64975416979874</c:v>
                </c:pt>
                <c:pt idx="3">
                  <c:v>-108.63605221229332</c:v>
                </c:pt>
                <c:pt idx="4">
                  <c:v>-138.07857223955619</c:v>
                </c:pt>
                <c:pt idx="5">
                  <c:v>167.71020837950039</c:v>
                </c:pt>
                <c:pt idx="6">
                  <c:v>-58.496156360952639</c:v>
                </c:pt>
                <c:pt idx="7">
                  <c:v>-104.15382855650245</c:v>
                </c:pt>
                <c:pt idx="8">
                  <c:v>-121.66696455862069</c:v>
                </c:pt>
                <c:pt idx="9">
                  <c:v>-147.81569664902807</c:v>
                </c:pt>
                <c:pt idx="10">
                  <c:v>-131.95471093134145</c:v>
                </c:pt>
                <c:pt idx="11">
                  <c:v>-116.28391554561742</c:v>
                </c:pt>
                <c:pt idx="12">
                  <c:v>-143.05736490708483</c:v>
                </c:pt>
                <c:pt idx="13">
                  <c:v>178.05537528267575</c:v>
                </c:pt>
                <c:pt idx="14">
                  <c:v>148.58693559198289</c:v>
                </c:pt>
                <c:pt idx="15">
                  <c:v>-104.13371344632213</c:v>
                </c:pt>
                <c:pt idx="16">
                  <c:v>-133.85978194001311</c:v>
                </c:pt>
                <c:pt idx="17">
                  <c:v>-156.74369944180722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4B-0243-8074-1116B145C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484800"/>
        <c:axId val="1040962704"/>
      </c:lineChart>
      <c:catAx>
        <c:axId val="131748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62704"/>
        <c:crosses val="autoZero"/>
        <c:auto val="1"/>
        <c:lblAlgn val="ctr"/>
        <c:lblOffset val="100"/>
        <c:noMultiLvlLbl val="0"/>
      </c:catAx>
      <c:valAx>
        <c:axId val="10409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Angle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IH2VA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Sheet1!$R$3:$R$20</c:f>
              <c:numCache>
                <c:formatCode>General</c:formatCode>
                <c:ptCount val="18"/>
                <c:pt idx="1">
                  <c:v>143.57625427977649</c:v>
                </c:pt>
                <c:pt idx="2">
                  <c:v>126.1638092787304</c:v>
                </c:pt>
                <c:pt idx="3">
                  <c:v>134.83334112623339</c:v>
                </c:pt>
                <c:pt idx="4">
                  <c:v>147.0442924295798</c:v>
                </c:pt>
                <c:pt idx="5">
                  <c:v>167.50895473790641</c:v>
                </c:pt>
                <c:pt idx="6">
                  <c:v>143.63828211960879</c:v>
                </c:pt>
                <c:pt idx="7">
                  <c:v>127.4269468130877</c:v>
                </c:pt>
                <c:pt idx="8">
                  <c:v>118.5759273837577</c:v>
                </c:pt>
                <c:pt idx="9">
                  <c:v>127.4025209703599</c:v>
                </c:pt>
                <c:pt idx="10">
                  <c:v>129.5185859178836</c:v>
                </c:pt>
                <c:pt idx="11">
                  <c:v>103.8128147275585</c:v>
                </c:pt>
                <c:pt idx="12">
                  <c:v>122.0308656855355</c:v>
                </c:pt>
                <c:pt idx="13">
                  <c:v>132.63861097033541</c:v>
                </c:pt>
                <c:pt idx="14">
                  <c:v>142.3360855749122</c:v>
                </c:pt>
                <c:pt idx="15">
                  <c:v>116.9674700674388</c:v>
                </c:pt>
                <c:pt idx="16">
                  <c:v>89.946171862246928</c:v>
                </c:pt>
                <c:pt idx="17">
                  <c:v>87.597442252119123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6-4247-AACE-21AB7DA37AF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Vih3a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Sheet1!$S$3:$S$20</c:f>
              <c:numCache>
                <c:formatCode>General</c:formatCode>
                <c:ptCount val="18"/>
                <c:pt idx="1">
                  <c:v>143.57190756593266</c:v>
                </c:pt>
                <c:pt idx="2">
                  <c:v>126.09157121871399</c:v>
                </c:pt>
                <c:pt idx="3">
                  <c:v>134.86139978123828</c:v>
                </c:pt>
                <c:pt idx="4">
                  <c:v>146.94073782146813</c:v>
                </c:pt>
                <c:pt idx="5">
                  <c:v>167.48096807429562</c:v>
                </c:pt>
                <c:pt idx="6">
                  <c:v>143.65961350934711</c:v>
                </c:pt>
                <c:pt idx="7">
                  <c:v>127.72618949859078</c:v>
                </c:pt>
                <c:pt idx="8">
                  <c:v>118.72021960377383</c:v>
                </c:pt>
                <c:pt idx="9">
                  <c:v>128.78756728252955</c:v>
                </c:pt>
                <c:pt idx="10">
                  <c:v>133.30112197429298</c:v>
                </c:pt>
                <c:pt idx="11">
                  <c:v>107.90851680225165</c:v>
                </c:pt>
                <c:pt idx="12">
                  <c:v>121.82423449197778</c:v>
                </c:pt>
                <c:pt idx="13">
                  <c:v>132.61091717899646</c:v>
                </c:pt>
                <c:pt idx="14">
                  <c:v>141.48360986238507</c:v>
                </c:pt>
                <c:pt idx="15">
                  <c:v>119.2863275445949</c:v>
                </c:pt>
                <c:pt idx="16">
                  <c:v>95.682380167883537</c:v>
                </c:pt>
                <c:pt idx="17">
                  <c:v>92.41546971812636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6-4247-AACE-21AB7DA37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715440"/>
        <c:axId val="1524791104"/>
      </c:lineChart>
      <c:catAx>
        <c:axId val="152471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91104"/>
        <c:crosses val="autoZero"/>
        <c:auto val="1"/>
        <c:lblAlgn val="ctr"/>
        <c:lblOffset val="100"/>
        <c:noMultiLvlLbl val="0"/>
      </c:catAx>
      <c:valAx>
        <c:axId val="15247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Magnitude F1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Sheet1!$C$63</c:f>
              <c:strCache>
                <c:ptCount val="1"/>
                <c:pt idx="0">
                  <c:v>FIM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Sheet1!$C$64:$C$81</c:f>
              <c:numCache>
                <c:formatCode>General</c:formatCode>
                <c:ptCount val="18"/>
                <c:pt idx="1">
                  <c:v>47.3788997664711</c:v>
                </c:pt>
                <c:pt idx="2">
                  <c:v>47.312367090174803</c:v>
                </c:pt>
                <c:pt idx="3">
                  <c:v>47.42724414942974</c:v>
                </c:pt>
                <c:pt idx="4">
                  <c:v>47.546004649087763</c:v>
                </c:pt>
                <c:pt idx="5">
                  <c:v>47.65308373068428</c:v>
                </c:pt>
                <c:pt idx="6">
                  <c:v>47.700334251240697</c:v>
                </c:pt>
                <c:pt idx="7">
                  <c:v>47.706029548275573</c:v>
                </c:pt>
                <c:pt idx="8">
                  <c:v>47.675375821820879</c:v>
                </c:pt>
                <c:pt idx="9">
                  <c:v>48.031402449338913</c:v>
                </c:pt>
                <c:pt idx="10">
                  <c:v>47.827058792910393</c:v>
                </c:pt>
                <c:pt idx="11">
                  <c:v>47.838360125718857</c:v>
                </c:pt>
                <c:pt idx="12">
                  <c:v>47.955746534249151</c:v>
                </c:pt>
                <c:pt idx="13">
                  <c:v>47.851597893561383</c:v>
                </c:pt>
                <c:pt idx="14">
                  <c:v>47.810152870993889</c:v>
                </c:pt>
                <c:pt idx="15">
                  <c:v>47.793241120948608</c:v>
                </c:pt>
                <c:pt idx="16">
                  <c:v>47.75693592379146</c:v>
                </c:pt>
                <c:pt idx="17">
                  <c:v>47.714594989914552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3-0E46-831F-CF1DDA8C0851}"/>
            </c:ext>
          </c:extLst>
        </c:ser>
        <c:ser>
          <c:idx val="1"/>
          <c:order val="1"/>
          <c:tx>
            <c:strRef>
              <c:f>Sheet1!$D$63</c:f>
              <c:strCache>
                <c:ptCount val="1"/>
                <c:pt idx="0">
                  <c:v>Iih1m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Sheet1!$D$64:$D$81</c:f>
              <c:numCache>
                <c:formatCode>General</c:formatCode>
                <c:ptCount val="18"/>
                <c:pt idx="1">
                  <c:v>47.3775266257352</c:v>
                </c:pt>
                <c:pt idx="2">
                  <c:v>47.313632966820315</c:v>
                </c:pt>
                <c:pt idx="3">
                  <c:v>47.426927235073869</c:v>
                </c:pt>
                <c:pt idx="4">
                  <c:v>47.547058285643743</c:v>
                </c:pt>
                <c:pt idx="5">
                  <c:v>47.653518561825969</c:v>
                </c:pt>
                <c:pt idx="6">
                  <c:v>47.700827486776831</c:v>
                </c:pt>
                <c:pt idx="7">
                  <c:v>47.705173938383446</c:v>
                </c:pt>
                <c:pt idx="8">
                  <c:v>47.675432567303062</c:v>
                </c:pt>
                <c:pt idx="9">
                  <c:v>48.047284679461654</c:v>
                </c:pt>
                <c:pt idx="10">
                  <c:v>47.851465500550589</c:v>
                </c:pt>
                <c:pt idx="11">
                  <c:v>47.807450666114811</c:v>
                </c:pt>
                <c:pt idx="12">
                  <c:v>47.93695861501385</c:v>
                </c:pt>
                <c:pt idx="13">
                  <c:v>47.870659396313997</c:v>
                </c:pt>
                <c:pt idx="14">
                  <c:v>47.794422338516803</c:v>
                </c:pt>
                <c:pt idx="15">
                  <c:v>47.776689820298422</c:v>
                </c:pt>
                <c:pt idx="16">
                  <c:v>47.787863146641691</c:v>
                </c:pt>
                <c:pt idx="17">
                  <c:v>47.721497055771678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3-0E46-831F-CF1DDA8C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482880"/>
        <c:axId val="1274399472"/>
      </c:lineChart>
      <c:catAx>
        <c:axId val="127448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99472"/>
        <c:crosses val="autoZero"/>
        <c:auto val="1"/>
        <c:lblAlgn val="ctr"/>
        <c:lblOffset val="100"/>
        <c:noMultiLvlLbl val="0"/>
      </c:catAx>
      <c:valAx>
        <c:axId val="12743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Magnitude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Sheet1!$F$63</c:f>
              <c:strCache>
                <c:ptCount val="1"/>
                <c:pt idx="0">
                  <c:v>IH1IM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Sheet1!$F$64:$F$81</c:f>
              <c:numCache>
                <c:formatCode>General</c:formatCode>
                <c:ptCount val="18"/>
                <c:pt idx="1">
                  <c:v>0.52578192147618319</c:v>
                </c:pt>
                <c:pt idx="2">
                  <c:v>0.98681184787667309</c:v>
                </c:pt>
                <c:pt idx="3">
                  <c:v>1.197433138883335</c:v>
                </c:pt>
                <c:pt idx="4">
                  <c:v>1.411812500008925</c:v>
                </c:pt>
                <c:pt idx="5">
                  <c:v>1.0616834651309131</c:v>
                </c:pt>
                <c:pt idx="6">
                  <c:v>0.68393287746386766</c:v>
                </c:pt>
                <c:pt idx="7">
                  <c:v>1.158360495461692</c:v>
                </c:pt>
                <c:pt idx="8">
                  <c:v>1.6768392272310939</c:v>
                </c:pt>
                <c:pt idx="9">
                  <c:v>1.6576824043527361</c:v>
                </c:pt>
                <c:pt idx="10">
                  <c:v>0.67218654170235992</c:v>
                </c:pt>
                <c:pt idx="11">
                  <c:v>0.95322410531449064</c:v>
                </c:pt>
                <c:pt idx="12">
                  <c:v>1.2636943021766429</c:v>
                </c:pt>
                <c:pt idx="13">
                  <c:v>1.527721594530012</c:v>
                </c:pt>
                <c:pt idx="14">
                  <c:v>1.378452282217091</c:v>
                </c:pt>
                <c:pt idx="15">
                  <c:v>0.6638403462945015</c:v>
                </c:pt>
                <c:pt idx="16">
                  <c:v>1.1485695254119279</c:v>
                </c:pt>
                <c:pt idx="17">
                  <c:v>1.3961417461599051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B-824C-93C6-07F8EFB4E170}"/>
            </c:ext>
          </c:extLst>
        </c:ser>
        <c:ser>
          <c:idx val="1"/>
          <c:order val="1"/>
          <c:tx>
            <c:strRef>
              <c:f>Sheet1!$G$63</c:f>
              <c:strCache>
                <c:ptCount val="1"/>
                <c:pt idx="0">
                  <c:v>Iih2m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Sheet1!$G$64:$G$81</c:f>
              <c:numCache>
                <c:formatCode>General</c:formatCode>
                <c:ptCount val="18"/>
                <c:pt idx="1">
                  <c:v>0.5256003586753204</c:v>
                </c:pt>
                <c:pt idx="2">
                  <c:v>0.98484738869712185</c:v>
                </c:pt>
                <c:pt idx="3">
                  <c:v>1.1970892470753414</c:v>
                </c:pt>
                <c:pt idx="4">
                  <c:v>1.4067267866779194</c:v>
                </c:pt>
                <c:pt idx="5">
                  <c:v>1.0603054872894808</c:v>
                </c:pt>
                <c:pt idx="6">
                  <c:v>0.68415695380019204</c:v>
                </c:pt>
                <c:pt idx="7">
                  <c:v>1.1797209293366073</c:v>
                </c:pt>
                <c:pt idx="8">
                  <c:v>1.6863221112672089</c:v>
                </c:pt>
                <c:pt idx="9">
                  <c:v>1.7536620750581395</c:v>
                </c:pt>
                <c:pt idx="10">
                  <c:v>1.0494057337993599</c:v>
                </c:pt>
                <c:pt idx="11">
                  <c:v>1.1087588589714348</c:v>
                </c:pt>
                <c:pt idx="12">
                  <c:v>1.2678942540781091</c:v>
                </c:pt>
                <c:pt idx="13">
                  <c:v>1.5258291976387459</c:v>
                </c:pt>
                <c:pt idx="14">
                  <c:v>1.608680076300288</c:v>
                </c:pt>
                <c:pt idx="15">
                  <c:v>0.84361945676144989</c:v>
                </c:pt>
                <c:pt idx="16">
                  <c:v>1.3479654346795336</c:v>
                </c:pt>
                <c:pt idx="17">
                  <c:v>1.612339984107773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B-824C-93C6-07F8EFB4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940576"/>
        <c:axId val="1434207456"/>
      </c:lineChart>
      <c:catAx>
        <c:axId val="127494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07456"/>
        <c:crosses val="autoZero"/>
        <c:auto val="1"/>
        <c:lblAlgn val="ctr"/>
        <c:lblOffset val="100"/>
        <c:noMultiLvlLbl val="0"/>
      </c:catAx>
      <c:valAx>
        <c:axId val="14342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currentVoltage Magnitude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Sheet1!$I$63</c:f>
              <c:strCache>
                <c:ptCount val="1"/>
                <c:pt idx="0">
                  <c:v>IH2IM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Sheet1!$I$64:$I$81</c:f>
              <c:numCache>
                <c:formatCode>General</c:formatCode>
                <c:ptCount val="18"/>
                <c:pt idx="1">
                  <c:v>4.5225284117335507</c:v>
                </c:pt>
                <c:pt idx="2">
                  <c:v>5.2299841270431431</c:v>
                </c:pt>
                <c:pt idx="3">
                  <c:v>5.4862459992181778</c:v>
                </c:pt>
                <c:pt idx="4">
                  <c:v>5.5013826098576928</c:v>
                </c:pt>
                <c:pt idx="5">
                  <c:v>5.0728394320934802</c:v>
                </c:pt>
                <c:pt idx="6">
                  <c:v>5.8739431751487947</c:v>
                </c:pt>
                <c:pt idx="7">
                  <c:v>6.3410032700986676</c:v>
                </c:pt>
                <c:pt idx="8">
                  <c:v>6.8907658903164011</c:v>
                </c:pt>
                <c:pt idx="9">
                  <c:v>6.8487492268078549</c:v>
                </c:pt>
                <c:pt idx="10">
                  <c:v>5.7120786362875844</c:v>
                </c:pt>
                <c:pt idx="11">
                  <c:v>6.2436595627358757</c:v>
                </c:pt>
                <c:pt idx="12">
                  <c:v>6.2769530320983646</c:v>
                </c:pt>
                <c:pt idx="13">
                  <c:v>6.4109322406313867</c:v>
                </c:pt>
                <c:pt idx="14">
                  <c:v>5.7898477050485697</c:v>
                </c:pt>
                <c:pt idx="15">
                  <c:v>6.5449188442510486</c:v>
                </c:pt>
                <c:pt idx="16">
                  <c:v>6.6693923311525998</c:v>
                </c:pt>
                <c:pt idx="17">
                  <c:v>6.5075012368562772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5-4241-AF66-6644FD0CFF31}"/>
            </c:ext>
          </c:extLst>
        </c:ser>
        <c:ser>
          <c:idx val="1"/>
          <c:order val="1"/>
          <c:tx>
            <c:strRef>
              <c:f>Sheet1!$J$63</c:f>
              <c:strCache>
                <c:ptCount val="1"/>
                <c:pt idx="0">
                  <c:v>Iih3m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Sheet1!$J$64:$J$81</c:f>
              <c:numCache>
                <c:formatCode>General</c:formatCode>
                <c:ptCount val="18"/>
                <c:pt idx="1">
                  <c:v>4.5225777134429404</c:v>
                </c:pt>
                <c:pt idx="2">
                  <c:v>5.228842053863942</c:v>
                </c:pt>
                <c:pt idx="3">
                  <c:v>5.4851620313369613</c:v>
                </c:pt>
                <c:pt idx="4">
                  <c:v>5.5034305647797837</c:v>
                </c:pt>
                <c:pt idx="5">
                  <c:v>5.0727973638581281</c:v>
                </c:pt>
                <c:pt idx="6">
                  <c:v>5.8711218660627331</c:v>
                </c:pt>
                <c:pt idx="7">
                  <c:v>6.3374647524040171</c:v>
                </c:pt>
                <c:pt idx="8">
                  <c:v>6.8886327165921122</c:v>
                </c:pt>
                <c:pt idx="9">
                  <c:v>6.8665815613372922</c:v>
                </c:pt>
                <c:pt idx="10">
                  <c:v>5.731760443980435</c:v>
                </c:pt>
                <c:pt idx="11">
                  <c:v>6.2056449195272494</c:v>
                </c:pt>
                <c:pt idx="12">
                  <c:v>6.2612890093252753</c:v>
                </c:pt>
                <c:pt idx="13">
                  <c:v>6.4225813472979425</c:v>
                </c:pt>
                <c:pt idx="14">
                  <c:v>5.7875449462475279</c:v>
                </c:pt>
                <c:pt idx="15">
                  <c:v>6.5140088161370482</c:v>
                </c:pt>
                <c:pt idx="16">
                  <c:v>6.6952487796159943</c:v>
                </c:pt>
                <c:pt idx="17">
                  <c:v>6.5349644923240628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5-4241-AF66-6644FD0C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651280"/>
        <c:axId val="1623215664"/>
      </c:lineChart>
      <c:catAx>
        <c:axId val="162365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15664"/>
        <c:crosses val="autoZero"/>
        <c:auto val="1"/>
        <c:lblAlgn val="ctr"/>
        <c:lblOffset val="100"/>
        <c:noMultiLvlLbl val="0"/>
      </c:catAx>
      <c:valAx>
        <c:axId val="16232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Angle F1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Sheet1!$L$63</c:f>
              <c:strCache>
                <c:ptCount val="1"/>
                <c:pt idx="0">
                  <c:v>FIA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Sheet1!$L$64:$L$81</c:f>
              <c:numCache>
                <c:formatCode>General</c:formatCode>
                <c:ptCount val="18"/>
                <c:pt idx="1">
                  <c:v>114.7541166214742</c:v>
                </c:pt>
                <c:pt idx="2">
                  <c:v>109.93694596681679</c:v>
                </c:pt>
                <c:pt idx="3">
                  <c:v>105.61275519524069</c:v>
                </c:pt>
                <c:pt idx="4">
                  <c:v>101.9237030487907</c:v>
                </c:pt>
                <c:pt idx="5">
                  <c:v>99.564445932718201</c:v>
                </c:pt>
                <c:pt idx="6">
                  <c:v>97.610651812865157</c:v>
                </c:pt>
                <c:pt idx="7">
                  <c:v>95.542221332831176</c:v>
                </c:pt>
                <c:pt idx="8">
                  <c:v>92.68369845855527</c:v>
                </c:pt>
                <c:pt idx="9">
                  <c:v>86.855837822585983</c:v>
                </c:pt>
                <c:pt idx="10">
                  <c:v>80.425230984483562</c:v>
                </c:pt>
                <c:pt idx="11">
                  <c:v>75.668537104070424</c:v>
                </c:pt>
                <c:pt idx="12">
                  <c:v>73.49676948381142</c:v>
                </c:pt>
                <c:pt idx="13">
                  <c:v>72.764937072323264</c:v>
                </c:pt>
                <c:pt idx="14">
                  <c:v>71.143309274789374</c:v>
                </c:pt>
                <c:pt idx="15">
                  <c:v>68.373312695372704</c:v>
                </c:pt>
                <c:pt idx="16">
                  <c:v>63.900307681891483</c:v>
                </c:pt>
                <c:pt idx="17">
                  <c:v>58.870851427739723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5-4148-AF89-B6DE3B549048}"/>
            </c:ext>
          </c:extLst>
        </c:ser>
        <c:ser>
          <c:idx val="1"/>
          <c:order val="1"/>
          <c:tx>
            <c:strRef>
              <c:f>Sheet1!$M$63</c:f>
              <c:strCache>
                <c:ptCount val="1"/>
                <c:pt idx="0">
                  <c:v>Iih1a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Sheet1!$M$64:$M$81</c:f>
              <c:numCache>
                <c:formatCode>General</c:formatCode>
                <c:ptCount val="18"/>
                <c:pt idx="1">
                  <c:v>114.747340640906</c:v>
                </c:pt>
                <c:pt idx="2">
                  <c:v>109.93886420210987</c:v>
                </c:pt>
                <c:pt idx="3">
                  <c:v>105.60874674226122</c:v>
                </c:pt>
                <c:pt idx="4">
                  <c:v>101.92901816031551</c:v>
                </c:pt>
                <c:pt idx="5">
                  <c:v>99.565698897623335</c:v>
                </c:pt>
                <c:pt idx="6">
                  <c:v>97.61149496922944</c:v>
                </c:pt>
                <c:pt idx="7">
                  <c:v>95.532397236438669</c:v>
                </c:pt>
                <c:pt idx="8">
                  <c:v>92.68216764665388</c:v>
                </c:pt>
                <c:pt idx="9">
                  <c:v>87.008283841243184</c:v>
                </c:pt>
                <c:pt idx="10">
                  <c:v>80.90343230183224</c:v>
                </c:pt>
                <c:pt idx="11">
                  <c:v>75.90614019632558</c:v>
                </c:pt>
                <c:pt idx="12">
                  <c:v>73.527237363517358</c:v>
                </c:pt>
                <c:pt idx="13">
                  <c:v>72.749509225937786</c:v>
                </c:pt>
                <c:pt idx="14">
                  <c:v>71.419415759567215</c:v>
                </c:pt>
                <c:pt idx="15">
                  <c:v>68.57681936532515</c:v>
                </c:pt>
                <c:pt idx="16">
                  <c:v>64.184805508024951</c:v>
                </c:pt>
                <c:pt idx="17">
                  <c:v>59.168968526482558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5-4148-AF89-B6DE3B549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90895"/>
        <c:axId val="1056339952"/>
      </c:lineChart>
      <c:catAx>
        <c:axId val="599190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39952"/>
        <c:crosses val="autoZero"/>
        <c:auto val="1"/>
        <c:lblAlgn val="ctr"/>
        <c:lblOffset val="100"/>
        <c:noMultiLvlLbl val="0"/>
      </c:catAx>
      <c:valAx>
        <c:axId val="10563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9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Angle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Sheet1!$O$63</c:f>
              <c:strCache>
                <c:ptCount val="1"/>
                <c:pt idx="0">
                  <c:v>IH1IA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Sheet1!$O$64:$O$81</c:f>
              <c:numCache>
                <c:formatCode>General</c:formatCode>
                <c:ptCount val="18"/>
                <c:pt idx="1">
                  <c:v>-100.3343115463895</c:v>
                </c:pt>
                <c:pt idx="2">
                  <c:v>-101.18985907485769</c:v>
                </c:pt>
                <c:pt idx="3">
                  <c:v>-120.3416646138341</c:v>
                </c:pt>
                <c:pt idx="4">
                  <c:v>-142.25956631678699</c:v>
                </c:pt>
                <c:pt idx="5">
                  <c:v>-171.66726736914791</c:v>
                </c:pt>
                <c:pt idx="6">
                  <c:v>-148.55211821195891</c:v>
                </c:pt>
                <c:pt idx="7">
                  <c:v>-137.73804487068861</c:v>
                </c:pt>
                <c:pt idx="8">
                  <c:v>-133.16695434747069</c:v>
                </c:pt>
                <c:pt idx="9">
                  <c:v>-157.94226418390531</c:v>
                </c:pt>
                <c:pt idx="10">
                  <c:v>-168.54461223969889</c:v>
                </c:pt>
                <c:pt idx="11">
                  <c:v>-147.6308581961749</c:v>
                </c:pt>
                <c:pt idx="12">
                  <c:v>-176.25221789805099</c:v>
                </c:pt>
                <c:pt idx="13">
                  <c:v>171.18271586334029</c:v>
                </c:pt>
                <c:pt idx="14">
                  <c:v>158.8535714829774</c:v>
                </c:pt>
                <c:pt idx="15">
                  <c:v>176.7570014117772</c:v>
                </c:pt>
                <c:pt idx="16">
                  <c:v>-164.51150792987991</c:v>
                </c:pt>
                <c:pt idx="17">
                  <c:v>-171.40288527243939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C-A040-AFCC-C85611F14DB8}"/>
            </c:ext>
          </c:extLst>
        </c:ser>
        <c:ser>
          <c:idx val="1"/>
          <c:order val="1"/>
          <c:tx>
            <c:strRef>
              <c:f>Sheet1!$P$63</c:f>
              <c:strCache>
                <c:ptCount val="1"/>
                <c:pt idx="0">
                  <c:v>Iih2a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Sheet1!$P$64:$P$81</c:f>
              <c:numCache>
                <c:formatCode>General</c:formatCode>
                <c:ptCount val="18"/>
                <c:pt idx="1">
                  <c:v>-100.16655691883912</c:v>
                </c:pt>
                <c:pt idx="2">
                  <c:v>-100.89605903946195</c:v>
                </c:pt>
                <c:pt idx="3">
                  <c:v>-120.42711757705523</c:v>
                </c:pt>
                <c:pt idx="4">
                  <c:v>-142.01576738971551</c:v>
                </c:pt>
                <c:pt idx="5">
                  <c:v>-171.67593577952883</c:v>
                </c:pt>
                <c:pt idx="6">
                  <c:v>-148.81234929302826</c:v>
                </c:pt>
                <c:pt idx="7">
                  <c:v>-138.51386150348878</c:v>
                </c:pt>
                <c:pt idx="8">
                  <c:v>-133.42896293421157</c:v>
                </c:pt>
                <c:pt idx="9">
                  <c:v>-159.29615842680613</c:v>
                </c:pt>
                <c:pt idx="10">
                  <c:v>-174.05455702204981</c:v>
                </c:pt>
                <c:pt idx="11">
                  <c:v>-152.24548240713202</c:v>
                </c:pt>
                <c:pt idx="12">
                  <c:v>-176.12872554593349</c:v>
                </c:pt>
                <c:pt idx="13">
                  <c:v>170.38132350486671</c:v>
                </c:pt>
                <c:pt idx="14">
                  <c:v>161.32689814295952</c:v>
                </c:pt>
                <c:pt idx="15">
                  <c:v>176.64505731265652</c:v>
                </c:pt>
                <c:pt idx="16">
                  <c:v>-171.00748958481</c:v>
                </c:pt>
                <c:pt idx="17">
                  <c:v>-176.10523466507104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C-A040-AFCC-C85611F14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146416"/>
        <c:axId val="1114523999"/>
      </c:lineChart>
      <c:catAx>
        <c:axId val="161614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23999"/>
        <c:crosses val="autoZero"/>
        <c:auto val="1"/>
        <c:lblAlgn val="ctr"/>
        <c:lblOffset val="100"/>
        <c:noMultiLvlLbl val="0"/>
      </c:catAx>
      <c:valAx>
        <c:axId val="11145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Angle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Sheet1!$R$63</c:f>
              <c:strCache>
                <c:ptCount val="1"/>
                <c:pt idx="0">
                  <c:v>IH2IA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Sheet1!$R$64:$R$81</c:f>
              <c:numCache>
                <c:formatCode>General</c:formatCode>
                <c:ptCount val="18"/>
                <c:pt idx="1">
                  <c:v>99.297694048819622</c:v>
                </c:pt>
                <c:pt idx="2">
                  <c:v>95.780246334543421</c:v>
                </c:pt>
                <c:pt idx="3">
                  <c:v>94.342275366898733</c:v>
                </c:pt>
                <c:pt idx="4">
                  <c:v>92.761711206876214</c:v>
                </c:pt>
                <c:pt idx="5">
                  <c:v>83.621907412535549</c:v>
                </c:pt>
                <c:pt idx="6">
                  <c:v>75.487422395752517</c:v>
                </c:pt>
                <c:pt idx="7">
                  <c:v>75.943864575122362</c:v>
                </c:pt>
                <c:pt idx="8">
                  <c:v>73.585860617824665</c:v>
                </c:pt>
                <c:pt idx="9">
                  <c:v>74.111315796648555</c:v>
                </c:pt>
                <c:pt idx="10">
                  <c:v>68.147059640527331</c:v>
                </c:pt>
                <c:pt idx="11">
                  <c:v>62.27668458832725</c:v>
                </c:pt>
                <c:pt idx="12">
                  <c:v>62.483389579454823</c:v>
                </c:pt>
                <c:pt idx="13">
                  <c:v>67.659115461363925</c:v>
                </c:pt>
                <c:pt idx="14">
                  <c:v>64.295644894720155</c:v>
                </c:pt>
                <c:pt idx="15">
                  <c:v>53.959592652240012</c:v>
                </c:pt>
                <c:pt idx="16">
                  <c:v>53.193530620444953</c:v>
                </c:pt>
                <c:pt idx="17">
                  <c:v>53.715724856149613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C-B44B-835D-D18B89B5AC3C}"/>
            </c:ext>
          </c:extLst>
        </c:ser>
        <c:ser>
          <c:idx val="1"/>
          <c:order val="1"/>
          <c:tx>
            <c:strRef>
              <c:f>Sheet1!$S$63</c:f>
              <c:strCache>
                <c:ptCount val="1"/>
                <c:pt idx="0">
                  <c:v>Iih3a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Sheet1!$S$65:$S$81</c:f>
              <c:numCache>
                <c:formatCode>General</c:formatCode>
                <c:ptCount val="17"/>
                <c:pt idx="0">
                  <c:v>99.273360526459385</c:v>
                </c:pt>
                <c:pt idx="1">
                  <c:v>95.714697011519604</c:v>
                </c:pt>
                <c:pt idx="2">
                  <c:v>94.35423795933778</c:v>
                </c:pt>
                <c:pt idx="3">
                  <c:v>92.673944518704644</c:v>
                </c:pt>
                <c:pt idx="4">
                  <c:v>83.602811032058042</c:v>
                </c:pt>
                <c:pt idx="5">
                  <c:v>75.495957234425248</c:v>
                </c:pt>
                <c:pt idx="6">
                  <c:v>76.193940731406656</c:v>
                </c:pt>
                <c:pt idx="7">
                  <c:v>73.689140316608842</c:v>
                </c:pt>
                <c:pt idx="8">
                  <c:v>75.030174940435771</c:v>
                </c:pt>
                <c:pt idx="9">
                  <c:v>72.199308200684484</c:v>
                </c:pt>
                <c:pt idx="10">
                  <c:v>63.939293008274277</c:v>
                </c:pt>
                <c:pt idx="11">
                  <c:v>62.473339687518163</c:v>
                </c:pt>
                <c:pt idx="12">
                  <c:v>67.589208808767864</c:v>
                </c:pt>
                <c:pt idx="13">
                  <c:v>66.787259421116033</c:v>
                </c:pt>
                <c:pt idx="14">
                  <c:v>55.617924107157229</c:v>
                </c:pt>
                <c:pt idx="15">
                  <c:v>55.337222078940719</c:v>
                </c:pt>
                <c:pt idx="16">
                  <c:v>55.937123586073561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C-B44B-835D-D18B89B5A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269856"/>
        <c:axId val="1439314752"/>
      </c:lineChart>
      <c:catAx>
        <c:axId val="162326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4752"/>
        <c:crosses val="autoZero"/>
        <c:auto val="1"/>
        <c:lblAlgn val="ctr"/>
        <c:lblOffset val="100"/>
        <c:noMultiLvlLbl val="0"/>
      </c:catAx>
      <c:valAx>
        <c:axId val="14393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20</xdr:row>
      <xdr:rowOff>139700</xdr:rowOff>
    </xdr:from>
    <xdr:to>
      <xdr:col>9</xdr:col>
      <xdr:colOff>311150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CE3D1-C449-4D0D-F942-F666A921F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469900</xdr:colOff>
      <xdr:row>20</xdr:row>
      <xdr:rowOff>152400</xdr:rowOff>
    </xdr:from>
    <xdr:to>
      <xdr:col>18</xdr:col>
      <xdr:colOff>215900</xdr:colOff>
      <xdr:row>40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9DAD96-7D2E-C63A-6484-EB93488C3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603250</xdr:colOff>
      <xdr:row>20</xdr:row>
      <xdr:rowOff>177800</xdr:rowOff>
    </xdr:from>
    <xdr:to>
      <xdr:col>26</xdr:col>
      <xdr:colOff>495300</xdr:colOff>
      <xdr:row>40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EE277-E365-DFB0-891D-CB33BA345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41</xdr:row>
      <xdr:rowOff>165100</xdr:rowOff>
    </xdr:from>
    <xdr:to>
      <xdr:col>9</xdr:col>
      <xdr:colOff>330200</xdr:colOff>
      <xdr:row>58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D50C38-7CB8-F731-8CEC-EA76EA25F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660400</xdr:colOff>
      <xdr:row>41</xdr:row>
      <xdr:rowOff>177800</xdr:rowOff>
    </xdr:from>
    <xdr:to>
      <xdr:col>18</xdr:col>
      <xdr:colOff>266700</xdr:colOff>
      <xdr:row>58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10426F-37EC-DBE3-CF0C-E16CBF1B7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628650</xdr:colOff>
      <xdr:row>41</xdr:row>
      <xdr:rowOff>177800</xdr:rowOff>
    </xdr:from>
    <xdr:to>
      <xdr:col>26</xdr:col>
      <xdr:colOff>508000</xdr:colOff>
      <xdr:row>58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BB7B6C-44AD-BE90-EF65-10EDF6DEC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615950</xdr:colOff>
      <xdr:row>82</xdr:row>
      <xdr:rowOff>76200</xdr:rowOff>
    </xdr:from>
    <xdr:to>
      <xdr:col>8</xdr:col>
      <xdr:colOff>457200</xdr:colOff>
      <xdr:row>99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31EA56-DD27-8A27-9D3F-5853B7E7C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196850</xdr:colOff>
      <xdr:row>82</xdr:row>
      <xdr:rowOff>101600</xdr:rowOff>
    </xdr:from>
    <xdr:to>
      <xdr:col>16</xdr:col>
      <xdr:colOff>444500</xdr:colOff>
      <xdr:row>99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590776-B33D-2200-3AD7-0A60DF8A8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114300</xdr:colOff>
      <xdr:row>82</xdr:row>
      <xdr:rowOff>88900</xdr:rowOff>
    </xdr:from>
    <xdr:to>
      <xdr:col>24</xdr:col>
      <xdr:colOff>508000</xdr:colOff>
      <xdr:row>99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2703DB-B0ED-D169-34BF-0AC733C2A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596900</xdr:colOff>
      <xdr:row>100</xdr:row>
      <xdr:rowOff>177800</xdr:rowOff>
    </xdr:from>
    <xdr:to>
      <xdr:col>8</xdr:col>
      <xdr:colOff>469900</xdr:colOff>
      <xdr:row>118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C32EF4-B04F-EFF0-BC07-125E9169F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12700</xdr:colOff>
      <xdr:row>103</xdr:row>
      <xdr:rowOff>63500</xdr:rowOff>
    </xdr:from>
    <xdr:to>
      <xdr:col>16</xdr:col>
      <xdr:colOff>546100</xdr:colOff>
      <xdr:row>117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3A3500-DF09-709C-0768-6F07F96B3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215900</xdr:colOff>
      <xdr:row>101</xdr:row>
      <xdr:rowOff>139700</xdr:rowOff>
    </xdr:from>
    <xdr:to>
      <xdr:col>24</xdr:col>
      <xdr:colOff>647700</xdr:colOff>
      <xdr:row>116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2FE428-435B-99B2-46A0-AB4E71F66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"/>
  <sheetViews>
    <sheetView tabSelected="1" topLeftCell="C1" workbookViewId="0">
      <selection activeCell="P142" sqref="P142"/>
    </sheetView>
  </sheetViews>
  <sheetFormatPr baseColWidth="10" defaultColWidth="8.83203125" defaultRowHeight="15" x14ac:dyDescent="0.2"/>
  <sheetData>
    <row r="1" spans="1:33" x14ac:dyDescent="0.2">
      <c r="A1" t="s">
        <v>0</v>
      </c>
      <c r="B1" s="1" t="s">
        <v>1</v>
      </c>
      <c r="C1" s="1"/>
      <c r="D1" s="1"/>
      <c r="E1" s="1"/>
      <c r="F1" s="1"/>
      <c r="G1" s="1"/>
      <c r="H1" s="1"/>
    </row>
    <row r="2" spans="1:33" x14ac:dyDescent="0.2">
      <c r="A2" t="s">
        <v>2</v>
      </c>
      <c r="B2" t="s">
        <v>3</v>
      </c>
      <c r="C2" t="s">
        <v>4</v>
      </c>
      <c r="D2" t="s">
        <v>10</v>
      </c>
      <c r="F2" t="s">
        <v>5</v>
      </c>
      <c r="G2" t="s">
        <v>11</v>
      </c>
      <c r="I2" t="s">
        <v>6</v>
      </c>
      <c r="J2" t="s">
        <v>12</v>
      </c>
      <c r="L2" t="s">
        <v>7</v>
      </c>
      <c r="M2" t="s">
        <v>13</v>
      </c>
      <c r="O2" t="s">
        <v>8</v>
      </c>
      <c r="P2" t="s">
        <v>14</v>
      </c>
      <c r="R2" t="s">
        <v>9</v>
      </c>
      <c r="S2" t="s">
        <v>15</v>
      </c>
    </row>
    <row r="4" spans="1:33" x14ac:dyDescent="0.2">
      <c r="A4">
        <v>0</v>
      </c>
      <c r="B4">
        <v>8.2644874199152007E-3</v>
      </c>
      <c r="C4">
        <v>72.41249780129543</v>
      </c>
      <c r="D4">
        <v>72.412470255953451</v>
      </c>
      <c r="F4">
        <v>0.82990057179440158</v>
      </c>
      <c r="G4">
        <v>0.82963100365948061</v>
      </c>
      <c r="I4">
        <v>1.0725374770704099</v>
      </c>
      <c r="J4">
        <v>1.0710110174471548</v>
      </c>
      <c r="L4">
        <v>93.575000137866098</v>
      </c>
      <c r="M4">
        <v>93.571887995196604</v>
      </c>
      <c r="O4">
        <v>-59.801212187878733</v>
      </c>
      <c r="P4">
        <v>-59.699746175889487</v>
      </c>
      <c r="R4">
        <v>143.57625427977649</v>
      </c>
      <c r="S4">
        <v>143.57190756593266</v>
      </c>
    </row>
    <row r="5" spans="1:33" x14ac:dyDescent="0.2">
      <c r="A5">
        <v>1</v>
      </c>
      <c r="B5">
        <v>0.29135331865091352</v>
      </c>
      <c r="C5">
        <v>72.410415775911645</v>
      </c>
      <c r="D5">
        <v>72.410291377426617</v>
      </c>
      <c r="F5">
        <v>1.410640669668604</v>
      </c>
      <c r="G5">
        <v>1.4115234836540376</v>
      </c>
      <c r="I5">
        <v>1.7445073754552769</v>
      </c>
      <c r="J5">
        <v>1.7439113214406501</v>
      </c>
      <c r="L5">
        <v>88.759414240002769</v>
      </c>
      <c r="M5">
        <v>88.759172580443732</v>
      </c>
      <c r="O5">
        <v>-81.723916729969091</v>
      </c>
      <c r="P5">
        <v>-81.64975416979874</v>
      </c>
      <c r="R5">
        <v>126.1638092787304</v>
      </c>
      <c r="S5">
        <v>126.09157121871399</v>
      </c>
      <c r="V5" s="2" t="s">
        <v>29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 spans="1:33" x14ac:dyDescent="0.2">
      <c r="A6">
        <v>2</v>
      </c>
      <c r="B6">
        <v>0.57465123738784796</v>
      </c>
      <c r="C6">
        <v>72.427566342059507</v>
      </c>
      <c r="D6">
        <v>72.427886149070289</v>
      </c>
      <c r="F6">
        <v>1.4286670254244169</v>
      </c>
      <c r="G6">
        <v>1.4281731461061902</v>
      </c>
      <c r="I6">
        <v>2.2781602596773971</v>
      </c>
      <c r="J6">
        <v>2.2781802017065904</v>
      </c>
      <c r="L6">
        <v>84.381716096050866</v>
      </c>
      <c r="M6">
        <v>84.377498817288284</v>
      </c>
      <c r="O6">
        <v>-108.5928429887332</v>
      </c>
      <c r="P6">
        <v>-108.63605221229332</v>
      </c>
      <c r="R6">
        <v>134.83334112623339</v>
      </c>
      <c r="S6">
        <v>134.86139978123828</v>
      </c>
      <c r="V6" s="4" t="s">
        <v>23</v>
      </c>
      <c r="W6" s="4"/>
      <c r="X6" s="4"/>
      <c r="Y6" s="4"/>
      <c r="Z6" s="4"/>
      <c r="AA6" s="4"/>
      <c r="AB6" s="5" t="s">
        <v>24</v>
      </c>
      <c r="AC6" s="5"/>
      <c r="AD6" s="5"/>
      <c r="AE6" s="5"/>
      <c r="AF6" s="5"/>
      <c r="AG6" s="6"/>
    </row>
    <row r="7" spans="1:33" x14ac:dyDescent="0.2">
      <c r="A7">
        <v>3</v>
      </c>
      <c r="B7">
        <v>0.85776608790893549</v>
      </c>
      <c r="C7">
        <v>72.413706985186181</v>
      </c>
      <c r="D7">
        <v>72.413280970509362</v>
      </c>
      <c r="F7">
        <v>1.2782200858906221</v>
      </c>
      <c r="G7">
        <v>1.2784342836560652</v>
      </c>
      <c r="I7">
        <v>2.6012588314883041</v>
      </c>
      <c r="J7">
        <v>2.6011076009222052</v>
      </c>
      <c r="L7">
        <v>80.556137244001221</v>
      </c>
      <c r="M7">
        <v>80.55568743311828</v>
      </c>
      <c r="O7">
        <v>-138.27077491093539</v>
      </c>
      <c r="P7">
        <v>-138.07857223955619</v>
      </c>
      <c r="R7">
        <v>147.0442924295798</v>
      </c>
      <c r="S7">
        <v>146.94073782146813</v>
      </c>
      <c r="V7" s="7" t="s">
        <v>25</v>
      </c>
      <c r="W7" s="7"/>
      <c r="X7" s="7"/>
      <c r="Y7" s="8" t="s">
        <v>30</v>
      </c>
      <c r="Z7" s="8"/>
      <c r="AA7" s="8"/>
      <c r="AB7" s="7" t="s">
        <v>25</v>
      </c>
      <c r="AC7" s="7"/>
      <c r="AD7" s="7"/>
      <c r="AE7" s="8" t="s">
        <v>30</v>
      </c>
      <c r="AF7" s="8"/>
      <c r="AG7" s="8"/>
    </row>
    <row r="8" spans="1:33" ht="16" x14ac:dyDescent="0.2">
      <c r="A8">
        <v>4</v>
      </c>
      <c r="B8">
        <v>1.14096438493271</v>
      </c>
      <c r="C8">
        <v>72.413656109350185</v>
      </c>
      <c r="D8">
        <v>72.413064502612087</v>
      </c>
      <c r="F8">
        <v>0.39465729162582702</v>
      </c>
      <c r="G8">
        <v>0.39463510020421366</v>
      </c>
      <c r="I8">
        <v>1.980220727672652</v>
      </c>
      <c r="J8">
        <v>1.9807012846704359</v>
      </c>
      <c r="L8">
        <v>78.296144166631166</v>
      </c>
      <c r="M8">
        <v>78.296163447199618</v>
      </c>
      <c r="O8">
        <v>167.57523192243991</v>
      </c>
      <c r="P8">
        <v>167.71020837950039</v>
      </c>
      <c r="R8">
        <v>167.50895473790641</v>
      </c>
      <c r="S8">
        <v>167.48096807429562</v>
      </c>
      <c r="V8" s="9" t="s">
        <v>26</v>
      </c>
      <c r="W8" s="10" t="s">
        <v>27</v>
      </c>
      <c r="X8" s="11" t="s">
        <v>28</v>
      </c>
      <c r="Y8" s="12" t="s">
        <v>26</v>
      </c>
      <c r="Z8" s="13" t="s">
        <v>27</v>
      </c>
      <c r="AA8" s="14" t="s">
        <v>28</v>
      </c>
      <c r="AB8" s="15" t="s">
        <v>26</v>
      </c>
      <c r="AC8" s="16" t="s">
        <v>27</v>
      </c>
      <c r="AD8" s="17" t="s">
        <v>28</v>
      </c>
      <c r="AE8" s="18" t="s">
        <v>26</v>
      </c>
      <c r="AF8" s="19" t="s">
        <v>27</v>
      </c>
      <c r="AG8" s="20" t="s">
        <v>28</v>
      </c>
    </row>
    <row r="9" spans="1:33" ht="16" x14ac:dyDescent="0.2">
      <c r="A9">
        <v>5</v>
      </c>
      <c r="B9">
        <v>1.42406165208359</v>
      </c>
      <c r="C9">
        <v>72.421828091524944</v>
      </c>
      <c r="D9">
        <v>72.421352158890372</v>
      </c>
      <c r="F9">
        <v>0.56005576491625986</v>
      </c>
      <c r="G9">
        <v>0.55966500867053059</v>
      </c>
      <c r="I9">
        <v>1.3572004711973329</v>
      </c>
      <c r="J9">
        <v>1.3585773625275037</v>
      </c>
      <c r="L9">
        <v>76.596529321407615</v>
      </c>
      <c r="M9">
        <v>76.596250472680083</v>
      </c>
      <c r="O9">
        <v>-58.357976033985352</v>
      </c>
      <c r="P9">
        <v>-58.496156360952639</v>
      </c>
      <c r="R9">
        <v>143.63828211960879</v>
      </c>
      <c r="S9">
        <v>143.65961350934711</v>
      </c>
      <c r="V9" s="9">
        <v>72.41</v>
      </c>
      <c r="W9" s="10">
        <v>1.1200000000000001</v>
      </c>
      <c r="X9" s="11">
        <v>2.11</v>
      </c>
      <c r="Y9" s="12"/>
      <c r="Z9" s="13"/>
      <c r="AA9" s="14"/>
      <c r="AB9" s="9">
        <v>47.71</v>
      </c>
      <c r="AC9" s="16">
        <v>1.25</v>
      </c>
      <c r="AD9" s="17">
        <v>5.9</v>
      </c>
      <c r="AE9" s="18"/>
      <c r="AF9" s="19"/>
      <c r="AG9" s="20"/>
    </row>
    <row r="10" spans="1:33" x14ac:dyDescent="0.2">
      <c r="A10">
        <v>6</v>
      </c>
      <c r="B10">
        <v>1.7074803074791001</v>
      </c>
      <c r="C10">
        <v>72.440238172480647</v>
      </c>
      <c r="D10">
        <v>72.441172915726938</v>
      </c>
      <c r="F10">
        <v>1.03597080567735</v>
      </c>
      <c r="G10">
        <v>1.0336733267377585</v>
      </c>
      <c r="I10">
        <v>2.0937413399954838</v>
      </c>
      <c r="J10">
        <v>2.0961207365124981</v>
      </c>
      <c r="L10">
        <v>74.428115134890874</v>
      </c>
      <c r="M10">
        <v>74.423199007213341</v>
      </c>
      <c r="O10">
        <v>-103.5772964761709</v>
      </c>
      <c r="P10">
        <v>-104.15382855650245</v>
      </c>
      <c r="R10">
        <v>127.4269468130877</v>
      </c>
      <c r="S10">
        <v>127.72618949859078</v>
      </c>
      <c r="V10" s="21" cm="1">
        <f t="array" ref="V10">AVERAGE(ABS((D4:D20-C4:C20)/D4:D20))*100</f>
        <v>5.2643162226926618E-3</v>
      </c>
      <c r="W10" s="22" cm="1">
        <f t="array" ref="W10">AVERAGE(ABS((G4:G20-F4:F20)/G4:G20))*100</f>
        <v>4.3498746962717583</v>
      </c>
      <c r="X10" s="23" cm="1">
        <f t="array" ref="X10">AVERAGE(ABS((J4:J20-I4:I20)/J4:J20))*100</f>
        <v>6.3228772477552955</v>
      </c>
      <c r="Y10" s="24" cm="1">
        <f t="array" ref="Y10">SQRT(AVERAGE((MOD(L4:L20-M4:M20+180,360)-180)^2))/360*100</f>
        <v>4.6639412424906969E-2</v>
      </c>
      <c r="Z10" s="25" cm="1">
        <f t="array" ref="Z10">SQRT(AVERAGE((MOD(O4:O20-P4:P20+180,360)-180)^2))/360*100</f>
        <v>3.6308840421512736</v>
      </c>
      <c r="AA10" s="26" cm="1">
        <f t="array" ref="AA10">SQRT(AVERAGE((MOD(R4:R20-S4:S20+180,360)-180)^2))/360*100</f>
        <v>0.65801098393764546</v>
      </c>
      <c r="AB10" s="21" cm="1">
        <f t="array" ref="AB10">AVERAGE(ABS((D65:D81-C65:C81)/D65:D81))*100</f>
        <v>2.2751783882858877E-2</v>
      </c>
      <c r="AC10" s="21" cm="1">
        <f t="array" ref="AC10">AVERAGE(ABS((G65:G81-F65:F81)/G65:G81))*100</f>
        <v>7.2285600932130514</v>
      </c>
      <c r="AD10" s="23" cm="1">
        <f t="array" ref="AD10">AVERAGE(ABS((J65:J81-I65:I81)/J65:J81))*100</f>
        <v>0.18726751382529822</v>
      </c>
      <c r="AE10" s="23" cm="1">
        <f t="array" ref="AE10">AVERAGE(ABS((M65:M81-L65:L81)/M65:M81))*100</f>
        <v>0.16488902488567175</v>
      </c>
      <c r="AF10" s="23" cm="1">
        <f t="array" ref="AF10">AVERAGE(ABS((P65:P81-O65:O81)/P65:P81))*100</f>
        <v>1.0170640914965496</v>
      </c>
      <c r="AG10" s="23" cm="1">
        <f t="array" ref="AG10">AVERAGE(ABS((S65:S81-R65:R81)/S65:S81))*100</f>
        <v>1.4598454388132616</v>
      </c>
    </row>
    <row r="11" spans="1:33" x14ac:dyDescent="0.2">
      <c r="A11">
        <v>7</v>
      </c>
      <c r="B11">
        <v>1.9905890187217701</v>
      </c>
      <c r="C11">
        <v>72.39861543726164</v>
      </c>
      <c r="D11">
        <v>72.398933249099301</v>
      </c>
      <c r="F11">
        <v>1.7339026554231669</v>
      </c>
      <c r="G11">
        <v>1.7340030085198486</v>
      </c>
      <c r="I11">
        <v>2.9480449203963222</v>
      </c>
      <c r="J11">
        <v>2.9476310873743556</v>
      </c>
      <c r="L11">
        <v>71.408282695624365</v>
      </c>
      <c r="M11">
        <v>71.405808701951955</v>
      </c>
      <c r="O11">
        <v>-121.4313843701761</v>
      </c>
      <c r="P11">
        <v>-121.66696455862069</v>
      </c>
      <c r="R11">
        <v>118.5759273837577</v>
      </c>
      <c r="S11">
        <v>118.72021960377383</v>
      </c>
      <c r="V11" s="27"/>
      <c r="W11" s="28"/>
      <c r="X11" s="28"/>
      <c r="Y11" s="29"/>
      <c r="Z11" s="28"/>
      <c r="AA11" s="28"/>
      <c r="AB11" s="27"/>
      <c r="AC11" s="28"/>
      <c r="AD11" s="28"/>
      <c r="AE11" s="29"/>
      <c r="AF11" s="28"/>
      <c r="AG11" s="30"/>
    </row>
    <row r="12" spans="1:33" x14ac:dyDescent="0.2">
      <c r="A12">
        <v>8</v>
      </c>
      <c r="B12">
        <v>2.2737087568237349</v>
      </c>
      <c r="C12">
        <v>72.359276235629736</v>
      </c>
      <c r="D12">
        <v>72.356077045145682</v>
      </c>
      <c r="F12">
        <v>1.4789224785290811</v>
      </c>
      <c r="G12">
        <v>1.6226126273578791</v>
      </c>
      <c r="I12">
        <v>2.7159033610248469</v>
      </c>
      <c r="J12">
        <v>2.9387571421585252</v>
      </c>
      <c r="L12">
        <v>65.347525723137935</v>
      </c>
      <c r="M12">
        <v>65.527921548569665</v>
      </c>
      <c r="O12">
        <v>-141.66284544844609</v>
      </c>
      <c r="P12">
        <v>-147.81569664902807</v>
      </c>
      <c r="R12">
        <v>127.4025209703599</v>
      </c>
      <c r="S12">
        <v>128.78756728252955</v>
      </c>
      <c r="V12" s="27"/>
      <c r="W12" s="28"/>
      <c r="X12" s="28"/>
      <c r="Y12" s="29"/>
      <c r="Z12" s="28"/>
      <c r="AA12" s="28"/>
      <c r="AB12" s="27"/>
      <c r="AC12" s="28"/>
      <c r="AD12" s="28"/>
      <c r="AE12" s="29"/>
      <c r="AF12" s="28"/>
      <c r="AG12" s="30"/>
    </row>
    <row r="13" spans="1:33" x14ac:dyDescent="0.2">
      <c r="A13">
        <v>9</v>
      </c>
      <c r="B13">
        <v>2.57336932029266</v>
      </c>
      <c r="C13">
        <v>72.426632612530113</v>
      </c>
      <c r="D13">
        <v>72.4069140850183</v>
      </c>
      <c r="F13">
        <v>0.6582179196872856</v>
      </c>
      <c r="G13">
        <v>0.65366070308835122</v>
      </c>
      <c r="I13">
        <v>1.2378474179067109</v>
      </c>
      <c r="J13">
        <v>1.7557470298806548</v>
      </c>
      <c r="L13">
        <v>59.120951408966697</v>
      </c>
      <c r="M13">
        <v>59.529441953805495</v>
      </c>
      <c r="O13">
        <v>-86.126939779743523</v>
      </c>
      <c r="P13">
        <v>-131.95471093134145</v>
      </c>
      <c r="R13">
        <v>129.5185859178836</v>
      </c>
      <c r="S13">
        <v>133.30112197429298</v>
      </c>
      <c r="V13" s="31"/>
      <c r="W13" s="32"/>
      <c r="X13" s="33"/>
      <c r="Y13" s="34"/>
      <c r="Z13" s="32"/>
      <c r="AA13" s="32"/>
      <c r="AB13" s="31"/>
      <c r="AC13" s="32"/>
      <c r="AD13" s="32"/>
      <c r="AE13" s="34"/>
      <c r="AF13" s="32"/>
      <c r="AG13" s="35"/>
    </row>
    <row r="14" spans="1:33" x14ac:dyDescent="0.2">
      <c r="A14">
        <v>10</v>
      </c>
      <c r="B14">
        <v>2.85649400558014</v>
      </c>
      <c r="C14">
        <v>72.422228112081143</v>
      </c>
      <c r="D14">
        <v>72.419030596807374</v>
      </c>
      <c r="F14">
        <v>1.205951472646392</v>
      </c>
      <c r="G14">
        <v>1.1829155619479648</v>
      </c>
      <c r="I14">
        <v>1.5618558241135301</v>
      </c>
      <c r="J14">
        <v>1.7837164877924172</v>
      </c>
      <c r="L14">
        <v>54.532225382818353</v>
      </c>
      <c r="M14">
        <v>54.730106371715664</v>
      </c>
      <c r="O14">
        <v>-104.7727736125793</v>
      </c>
      <c r="P14">
        <v>-116.28391554561742</v>
      </c>
      <c r="R14">
        <v>103.8128147275585</v>
      </c>
      <c r="S14">
        <v>107.90851680225165</v>
      </c>
    </row>
    <row r="15" spans="1:33" x14ac:dyDescent="0.2">
      <c r="A15">
        <v>11</v>
      </c>
      <c r="B15">
        <v>3.1396140417053249</v>
      </c>
      <c r="C15">
        <v>72.410372339405328</v>
      </c>
      <c r="D15">
        <v>72.409973932357914</v>
      </c>
      <c r="F15">
        <v>0.81655329695064949</v>
      </c>
      <c r="G15">
        <v>0.82239801307723759</v>
      </c>
      <c r="I15">
        <v>2.0366881929048679</v>
      </c>
      <c r="J15">
        <v>2.0587090427904911</v>
      </c>
      <c r="L15">
        <v>52.451359898494587</v>
      </c>
      <c r="M15">
        <v>52.464845854181497</v>
      </c>
      <c r="O15">
        <v>-142.67903327920999</v>
      </c>
      <c r="P15">
        <v>-143.05736490708483</v>
      </c>
      <c r="R15">
        <v>122.0308656855355</v>
      </c>
      <c r="S15">
        <v>121.82423449197778</v>
      </c>
    </row>
    <row r="16" spans="1:33" x14ac:dyDescent="0.2">
      <c r="A16">
        <v>12</v>
      </c>
      <c r="B16">
        <v>3.4228354057266248</v>
      </c>
      <c r="C16">
        <v>72.427537888861877</v>
      </c>
      <c r="D16">
        <v>72.425000689240278</v>
      </c>
      <c r="F16">
        <v>0.91684335391680072</v>
      </c>
      <c r="G16">
        <v>0.95279626541244888</v>
      </c>
      <c r="I16">
        <v>2.4917294260878831</v>
      </c>
      <c r="J16">
        <v>2.5339538286236434</v>
      </c>
      <c r="L16">
        <v>51.616878363193663</v>
      </c>
      <c r="M16">
        <v>51.652322624674916</v>
      </c>
      <c r="O16">
        <v>179.34326345065779</v>
      </c>
      <c r="P16">
        <v>178.05537528267575</v>
      </c>
      <c r="R16">
        <v>132.63861097033541</v>
      </c>
      <c r="S16">
        <v>132.61091717899646</v>
      </c>
    </row>
    <row r="17" spans="1:19" x14ac:dyDescent="0.2">
      <c r="A17">
        <v>13</v>
      </c>
      <c r="B17">
        <v>3.7063656410171499</v>
      </c>
      <c r="C17">
        <v>72.428280137093424</v>
      </c>
      <c r="D17">
        <v>72.420027180099694</v>
      </c>
      <c r="F17">
        <v>0.55572470222082493</v>
      </c>
      <c r="G17">
        <v>0.83547092318234828</v>
      </c>
      <c r="I17">
        <v>2.2919409654601881</v>
      </c>
      <c r="J17">
        <v>2.5636456731776862</v>
      </c>
      <c r="L17">
        <v>50.073470996897363</v>
      </c>
      <c r="M17">
        <v>50.290027576076525</v>
      </c>
      <c r="O17">
        <v>148.03293438820899</v>
      </c>
      <c r="P17">
        <v>148.58693559198289</v>
      </c>
      <c r="R17">
        <v>142.3360855749122</v>
      </c>
      <c r="S17">
        <v>141.48360986238507</v>
      </c>
    </row>
    <row r="18" spans="1:19" x14ac:dyDescent="0.2">
      <c r="A18">
        <v>14</v>
      </c>
      <c r="B18">
        <v>3.9894675573303249</v>
      </c>
      <c r="C18">
        <v>72.439136535599246</v>
      </c>
      <c r="D18">
        <v>72.434510071158087</v>
      </c>
      <c r="F18">
        <v>0.81430665020469128</v>
      </c>
      <c r="G18">
        <v>0.69768455679525543</v>
      </c>
      <c r="I18">
        <v>1.2396164654506121</v>
      </c>
      <c r="J18">
        <v>1.4877418472660919</v>
      </c>
      <c r="L18">
        <v>47.379482886217112</v>
      </c>
      <c r="M18">
        <v>47.576400250164653</v>
      </c>
      <c r="O18">
        <v>-86.810028626913578</v>
      </c>
      <c r="P18">
        <v>-104.13371344632213</v>
      </c>
      <c r="R18">
        <v>116.9674700674388</v>
      </c>
      <c r="S18">
        <v>119.2863275445949</v>
      </c>
    </row>
    <row r="19" spans="1:19" x14ac:dyDescent="0.2">
      <c r="A19">
        <v>15</v>
      </c>
      <c r="B19">
        <v>4.2726077398254407</v>
      </c>
      <c r="C19">
        <v>72.389842123323433</v>
      </c>
      <c r="D19">
        <v>72.385885787369347</v>
      </c>
      <c r="F19">
        <v>1.4048049544674039</v>
      </c>
      <c r="G19">
        <v>1.4040678170941547</v>
      </c>
      <c r="I19">
        <v>1.648507073199059</v>
      </c>
      <c r="J19">
        <v>1.9293066018930745</v>
      </c>
      <c r="L19">
        <v>42.681621557073662</v>
      </c>
      <c r="M19">
        <v>42.941123263529583</v>
      </c>
      <c r="O19">
        <v>-120.152616714465</v>
      </c>
      <c r="P19">
        <v>-133.85978194001311</v>
      </c>
      <c r="R19">
        <v>89.946171862246928</v>
      </c>
      <c r="S19">
        <v>95.682380167883537</v>
      </c>
    </row>
    <row r="20" spans="1:19" x14ac:dyDescent="0.2">
      <c r="A20">
        <v>16</v>
      </c>
      <c r="B20">
        <v>4.55571239795227</v>
      </c>
      <c r="C20">
        <v>72.380209688826696</v>
      </c>
      <c r="D20">
        <v>72.364522208852861</v>
      </c>
      <c r="F20">
        <v>1.632166449172382</v>
      </c>
      <c r="G20">
        <v>1.7599778995658479</v>
      </c>
      <c r="I20">
        <v>2.133332018991978</v>
      </c>
      <c r="J20">
        <v>2.451170640518102</v>
      </c>
      <c r="L20">
        <v>37.593800232562003</v>
      </c>
      <c r="M20">
        <v>37.887352720515118</v>
      </c>
      <c r="O20">
        <v>-144.7680865342123</v>
      </c>
      <c r="P20">
        <v>-156.74369944180722</v>
      </c>
      <c r="R20">
        <v>87.597442252119123</v>
      </c>
      <c r="S20">
        <v>92.41546971812636</v>
      </c>
    </row>
    <row r="44" spans="10:10" x14ac:dyDescent="0.2">
      <c r="J44" t="s">
        <v>22</v>
      </c>
    </row>
    <row r="62" spans="1:19" x14ac:dyDescent="0.2">
      <c r="A62" t="s">
        <v>0</v>
      </c>
      <c r="B62" s="1" t="s">
        <v>1</v>
      </c>
      <c r="C62" s="1"/>
      <c r="D62" s="1"/>
      <c r="E62" s="1"/>
      <c r="F62" s="1"/>
      <c r="G62" s="1"/>
      <c r="H62" s="1"/>
    </row>
    <row r="63" spans="1:19" x14ac:dyDescent="0.2">
      <c r="A63" t="s">
        <v>2</v>
      </c>
      <c r="B63" t="s">
        <v>3</v>
      </c>
      <c r="C63" t="s">
        <v>31</v>
      </c>
      <c r="D63" t="s">
        <v>16</v>
      </c>
      <c r="F63" t="s">
        <v>32</v>
      </c>
      <c r="G63" t="s">
        <v>17</v>
      </c>
      <c r="I63" t="s">
        <v>33</v>
      </c>
      <c r="J63" t="s">
        <v>18</v>
      </c>
      <c r="L63" t="s">
        <v>34</v>
      </c>
      <c r="M63" t="s">
        <v>19</v>
      </c>
      <c r="O63" t="s">
        <v>35</v>
      </c>
      <c r="P63" t="s">
        <v>20</v>
      </c>
      <c r="R63" t="s">
        <v>36</v>
      </c>
      <c r="S63" t="s">
        <v>21</v>
      </c>
    </row>
    <row r="65" spans="1:19" x14ac:dyDescent="0.2">
      <c r="A65">
        <v>0</v>
      </c>
      <c r="B65">
        <v>8.2644874199152007E-3</v>
      </c>
      <c r="C65">
        <v>47.3788997664711</v>
      </c>
      <c r="D65">
        <v>47.3775266257352</v>
      </c>
      <c r="F65">
        <v>0.52578192147618319</v>
      </c>
      <c r="G65">
        <v>0.5256003586753204</v>
      </c>
      <c r="I65">
        <v>4.5225284117335507</v>
      </c>
      <c r="J65">
        <v>4.5225777134429404</v>
      </c>
      <c r="L65">
        <v>114.7541166214742</v>
      </c>
      <c r="M65">
        <v>114.747340640906</v>
      </c>
      <c r="O65">
        <v>-100.3343115463895</v>
      </c>
      <c r="P65">
        <v>-100.16655691883912</v>
      </c>
      <c r="R65">
        <v>99.297694048819622</v>
      </c>
      <c r="S65">
        <v>99.273360526459385</v>
      </c>
    </row>
    <row r="66" spans="1:19" x14ac:dyDescent="0.2">
      <c r="A66">
        <v>1</v>
      </c>
      <c r="B66">
        <v>0.29135331865091352</v>
      </c>
      <c r="C66">
        <v>47.312367090174803</v>
      </c>
      <c r="D66">
        <v>47.313632966820315</v>
      </c>
      <c r="F66">
        <v>0.98681184787667309</v>
      </c>
      <c r="G66">
        <v>0.98484738869712185</v>
      </c>
      <c r="I66">
        <v>5.2299841270431431</v>
      </c>
      <c r="J66">
        <v>5.228842053863942</v>
      </c>
      <c r="L66">
        <v>109.93694596681679</v>
      </c>
      <c r="M66">
        <v>109.93886420210987</v>
      </c>
      <c r="O66">
        <v>-101.18985907485769</v>
      </c>
      <c r="P66">
        <v>-100.89605903946195</v>
      </c>
      <c r="R66">
        <v>95.780246334543421</v>
      </c>
      <c r="S66">
        <v>95.714697011519604</v>
      </c>
    </row>
    <row r="67" spans="1:19" x14ac:dyDescent="0.2">
      <c r="A67">
        <v>2</v>
      </c>
      <c r="B67">
        <v>0.57465123738784796</v>
      </c>
      <c r="C67">
        <v>47.42724414942974</v>
      </c>
      <c r="D67">
        <v>47.426927235073869</v>
      </c>
      <c r="F67">
        <v>1.197433138883335</v>
      </c>
      <c r="G67">
        <v>1.1970892470753414</v>
      </c>
      <c r="I67">
        <v>5.4862459992181778</v>
      </c>
      <c r="J67">
        <v>5.4851620313369613</v>
      </c>
      <c r="L67">
        <v>105.61275519524069</v>
      </c>
      <c r="M67">
        <v>105.60874674226122</v>
      </c>
      <c r="O67">
        <v>-120.3416646138341</v>
      </c>
      <c r="P67">
        <v>-120.42711757705523</v>
      </c>
      <c r="R67">
        <v>94.342275366898733</v>
      </c>
      <c r="S67">
        <v>94.35423795933778</v>
      </c>
    </row>
    <row r="68" spans="1:19" x14ac:dyDescent="0.2">
      <c r="A68">
        <v>3</v>
      </c>
      <c r="B68">
        <v>0.85776608790893549</v>
      </c>
      <c r="C68">
        <v>47.546004649087763</v>
      </c>
      <c r="D68">
        <v>47.547058285643743</v>
      </c>
      <c r="F68">
        <v>1.411812500008925</v>
      </c>
      <c r="G68">
        <v>1.4067267866779194</v>
      </c>
      <c r="I68">
        <v>5.5013826098576928</v>
      </c>
      <c r="J68">
        <v>5.5034305647797837</v>
      </c>
      <c r="L68">
        <v>101.9237030487907</v>
      </c>
      <c r="M68">
        <v>101.92901816031551</v>
      </c>
      <c r="O68">
        <v>-142.25956631678699</v>
      </c>
      <c r="P68">
        <v>-142.01576738971551</v>
      </c>
      <c r="R68">
        <v>92.761711206876214</v>
      </c>
      <c r="S68">
        <v>92.673944518704644</v>
      </c>
    </row>
    <row r="69" spans="1:19" x14ac:dyDescent="0.2">
      <c r="A69">
        <v>4</v>
      </c>
      <c r="B69">
        <v>1.14096438493271</v>
      </c>
      <c r="C69">
        <v>47.65308373068428</v>
      </c>
      <c r="D69">
        <v>47.653518561825969</v>
      </c>
      <c r="F69">
        <v>1.0616834651309131</v>
      </c>
      <c r="G69">
        <v>1.0603054872894808</v>
      </c>
      <c r="I69">
        <v>5.0728394320934802</v>
      </c>
      <c r="J69">
        <v>5.0727973638581281</v>
      </c>
      <c r="L69">
        <v>99.564445932718201</v>
      </c>
      <c r="M69">
        <v>99.565698897623335</v>
      </c>
      <c r="O69">
        <v>-171.66726736914791</v>
      </c>
      <c r="P69">
        <v>-171.67593577952883</v>
      </c>
      <c r="R69">
        <v>83.621907412535549</v>
      </c>
      <c r="S69">
        <v>83.602811032058042</v>
      </c>
    </row>
    <row r="70" spans="1:19" x14ac:dyDescent="0.2">
      <c r="A70">
        <v>5</v>
      </c>
      <c r="B70">
        <v>1.42406165208359</v>
      </c>
      <c r="C70">
        <v>47.700334251240697</v>
      </c>
      <c r="D70">
        <v>47.700827486776831</v>
      </c>
      <c r="F70">
        <v>0.68393287746386766</v>
      </c>
      <c r="G70">
        <v>0.68415695380019204</v>
      </c>
      <c r="I70">
        <v>5.8739431751487947</v>
      </c>
      <c r="J70">
        <v>5.8711218660627331</v>
      </c>
      <c r="L70">
        <v>97.610651812865157</v>
      </c>
      <c r="M70">
        <v>97.61149496922944</v>
      </c>
      <c r="O70">
        <v>-148.55211821195891</v>
      </c>
      <c r="P70">
        <v>-148.81234929302826</v>
      </c>
      <c r="R70">
        <v>75.487422395752517</v>
      </c>
      <c r="S70">
        <v>75.495957234425248</v>
      </c>
    </row>
    <row r="71" spans="1:19" x14ac:dyDescent="0.2">
      <c r="A71">
        <v>6</v>
      </c>
      <c r="B71">
        <v>1.7074803074791001</v>
      </c>
      <c r="C71">
        <v>47.706029548275573</v>
      </c>
      <c r="D71">
        <v>47.705173938383446</v>
      </c>
      <c r="F71">
        <v>1.158360495461692</v>
      </c>
      <c r="G71">
        <v>1.1797209293366073</v>
      </c>
      <c r="I71">
        <v>6.3410032700986676</v>
      </c>
      <c r="J71">
        <v>6.3374647524040171</v>
      </c>
      <c r="L71">
        <v>95.542221332831176</v>
      </c>
      <c r="M71">
        <v>95.532397236438669</v>
      </c>
      <c r="O71">
        <v>-137.73804487068861</v>
      </c>
      <c r="P71">
        <v>-138.51386150348878</v>
      </c>
      <c r="R71">
        <v>75.943864575122362</v>
      </c>
      <c r="S71">
        <v>76.193940731406656</v>
      </c>
    </row>
    <row r="72" spans="1:19" x14ac:dyDescent="0.2">
      <c r="A72">
        <v>7</v>
      </c>
      <c r="B72">
        <v>1.9905890187217701</v>
      </c>
      <c r="C72">
        <v>47.675375821820879</v>
      </c>
      <c r="D72">
        <v>47.675432567303062</v>
      </c>
      <c r="F72">
        <v>1.6768392272310939</v>
      </c>
      <c r="G72">
        <v>1.6863221112672089</v>
      </c>
      <c r="I72">
        <v>6.8907658903164011</v>
      </c>
      <c r="J72">
        <v>6.8886327165921122</v>
      </c>
      <c r="L72">
        <v>92.68369845855527</v>
      </c>
      <c r="M72">
        <v>92.68216764665388</v>
      </c>
      <c r="O72">
        <v>-133.16695434747069</v>
      </c>
      <c r="P72">
        <v>-133.42896293421157</v>
      </c>
      <c r="R72">
        <v>73.585860617824665</v>
      </c>
      <c r="S72">
        <v>73.689140316608842</v>
      </c>
    </row>
    <row r="73" spans="1:19" x14ac:dyDescent="0.2">
      <c r="A73">
        <v>8</v>
      </c>
      <c r="B73">
        <v>2.2737087568237349</v>
      </c>
      <c r="C73">
        <v>48.031402449338913</v>
      </c>
      <c r="D73">
        <v>48.047284679461654</v>
      </c>
      <c r="F73">
        <v>1.6576824043527361</v>
      </c>
      <c r="G73">
        <v>1.7536620750581395</v>
      </c>
      <c r="I73">
        <v>6.8487492268078549</v>
      </c>
      <c r="J73">
        <v>6.8665815613372922</v>
      </c>
      <c r="L73">
        <v>86.855837822585983</v>
      </c>
      <c r="M73">
        <v>87.008283841243184</v>
      </c>
      <c r="O73">
        <v>-157.94226418390531</v>
      </c>
      <c r="P73">
        <v>-159.29615842680613</v>
      </c>
      <c r="R73">
        <v>74.111315796648555</v>
      </c>
      <c r="S73">
        <v>75.030174940435771</v>
      </c>
    </row>
    <row r="74" spans="1:19" x14ac:dyDescent="0.2">
      <c r="A74">
        <v>9</v>
      </c>
      <c r="B74">
        <v>2.57336932029266</v>
      </c>
      <c r="C74">
        <v>47.827058792910393</v>
      </c>
      <c r="D74">
        <v>47.851465500550589</v>
      </c>
      <c r="F74">
        <v>0.67218654170235992</v>
      </c>
      <c r="G74">
        <v>1.0494057337993599</v>
      </c>
      <c r="I74">
        <v>5.7120786362875844</v>
      </c>
      <c r="J74">
        <v>5.731760443980435</v>
      </c>
      <c r="L74">
        <v>80.425230984483562</v>
      </c>
      <c r="M74">
        <v>80.90343230183224</v>
      </c>
      <c r="O74">
        <v>-168.54461223969889</v>
      </c>
      <c r="P74">
        <v>-174.05455702204981</v>
      </c>
      <c r="R74">
        <v>68.147059640527331</v>
      </c>
      <c r="S74">
        <v>72.199308200684484</v>
      </c>
    </row>
    <row r="75" spans="1:19" x14ac:dyDescent="0.2">
      <c r="A75">
        <v>10</v>
      </c>
      <c r="B75">
        <v>2.85649400558014</v>
      </c>
      <c r="C75">
        <v>47.838360125718857</v>
      </c>
      <c r="D75">
        <v>47.807450666114811</v>
      </c>
      <c r="F75">
        <v>0.95322410531449064</v>
      </c>
      <c r="G75">
        <v>1.1087588589714348</v>
      </c>
      <c r="I75">
        <v>6.2436595627358757</v>
      </c>
      <c r="J75">
        <v>6.2056449195272494</v>
      </c>
      <c r="L75">
        <v>75.668537104070424</v>
      </c>
      <c r="M75">
        <v>75.90614019632558</v>
      </c>
      <c r="O75">
        <v>-147.6308581961749</v>
      </c>
      <c r="P75">
        <v>-152.24548240713202</v>
      </c>
      <c r="R75">
        <v>62.27668458832725</v>
      </c>
      <c r="S75">
        <v>63.939293008274277</v>
      </c>
    </row>
    <row r="76" spans="1:19" x14ac:dyDescent="0.2">
      <c r="A76">
        <v>11</v>
      </c>
      <c r="B76">
        <v>3.1396140417053249</v>
      </c>
      <c r="C76">
        <v>47.955746534249151</v>
      </c>
      <c r="D76">
        <v>47.93695861501385</v>
      </c>
      <c r="F76">
        <v>1.2636943021766429</v>
      </c>
      <c r="G76">
        <v>1.2678942540781091</v>
      </c>
      <c r="I76">
        <v>6.2769530320983646</v>
      </c>
      <c r="J76">
        <v>6.2612890093252753</v>
      </c>
      <c r="L76">
        <v>73.49676948381142</v>
      </c>
      <c r="M76">
        <v>73.527237363517358</v>
      </c>
      <c r="O76">
        <v>-176.25221789805099</v>
      </c>
      <c r="P76">
        <v>-176.12872554593349</v>
      </c>
      <c r="R76">
        <v>62.483389579454823</v>
      </c>
      <c r="S76">
        <v>62.473339687518163</v>
      </c>
    </row>
    <row r="77" spans="1:19" x14ac:dyDescent="0.2">
      <c r="A77">
        <v>12</v>
      </c>
      <c r="B77">
        <v>3.4228354057266248</v>
      </c>
      <c r="C77">
        <v>47.851597893561383</v>
      </c>
      <c r="D77">
        <v>47.870659396313997</v>
      </c>
      <c r="F77">
        <v>1.527721594530012</v>
      </c>
      <c r="G77">
        <v>1.5258291976387459</v>
      </c>
      <c r="I77">
        <v>6.4109322406313867</v>
      </c>
      <c r="J77">
        <v>6.4225813472979425</v>
      </c>
      <c r="L77">
        <v>72.764937072323264</v>
      </c>
      <c r="M77">
        <v>72.749509225937786</v>
      </c>
      <c r="O77">
        <v>171.18271586334029</v>
      </c>
      <c r="P77">
        <v>170.38132350486671</v>
      </c>
      <c r="R77">
        <v>67.659115461363925</v>
      </c>
      <c r="S77">
        <v>67.589208808767864</v>
      </c>
    </row>
    <row r="78" spans="1:19" x14ac:dyDescent="0.2">
      <c r="A78">
        <v>13</v>
      </c>
      <c r="B78">
        <v>3.7063656410171499</v>
      </c>
      <c r="C78">
        <v>47.810152870993889</v>
      </c>
      <c r="D78">
        <v>47.794422338516803</v>
      </c>
      <c r="F78">
        <v>1.378452282217091</v>
      </c>
      <c r="G78">
        <v>1.608680076300288</v>
      </c>
      <c r="I78">
        <v>5.7898477050485697</v>
      </c>
      <c r="J78">
        <v>5.7875449462475279</v>
      </c>
      <c r="L78">
        <v>71.143309274789374</v>
      </c>
      <c r="M78">
        <v>71.419415759567215</v>
      </c>
      <c r="O78">
        <v>158.8535714829774</v>
      </c>
      <c r="P78">
        <v>161.32689814295952</v>
      </c>
      <c r="R78">
        <v>64.295644894720155</v>
      </c>
      <c r="S78">
        <v>66.787259421116033</v>
      </c>
    </row>
    <row r="79" spans="1:19" x14ac:dyDescent="0.2">
      <c r="A79">
        <v>14</v>
      </c>
      <c r="B79">
        <v>3.9894675573303249</v>
      </c>
      <c r="C79">
        <v>47.793241120948608</v>
      </c>
      <c r="D79">
        <v>47.776689820298422</v>
      </c>
      <c r="F79">
        <v>0.6638403462945015</v>
      </c>
      <c r="G79">
        <v>0.84361945676144989</v>
      </c>
      <c r="I79">
        <v>6.5449188442510486</v>
      </c>
      <c r="J79">
        <v>6.5140088161370482</v>
      </c>
      <c r="L79">
        <v>68.373312695372704</v>
      </c>
      <c r="M79">
        <v>68.57681936532515</v>
      </c>
      <c r="O79">
        <v>176.7570014117772</v>
      </c>
      <c r="P79">
        <v>176.64505731265652</v>
      </c>
      <c r="R79">
        <v>53.959592652240012</v>
      </c>
      <c r="S79">
        <v>55.617924107157229</v>
      </c>
    </row>
    <row r="80" spans="1:19" x14ac:dyDescent="0.2">
      <c r="A80">
        <v>15</v>
      </c>
      <c r="B80">
        <v>4.2726077398254407</v>
      </c>
      <c r="C80">
        <v>47.75693592379146</v>
      </c>
      <c r="D80">
        <v>47.787863146641691</v>
      </c>
      <c r="F80">
        <v>1.1485695254119279</v>
      </c>
      <c r="G80">
        <v>1.3479654346795336</v>
      </c>
      <c r="I80">
        <v>6.6693923311525998</v>
      </c>
      <c r="J80">
        <v>6.6952487796159943</v>
      </c>
      <c r="L80">
        <v>63.900307681891483</v>
      </c>
      <c r="M80">
        <v>64.184805508024951</v>
      </c>
      <c r="O80">
        <v>-164.51150792987991</v>
      </c>
      <c r="P80">
        <v>-171.00748958481</v>
      </c>
      <c r="R80">
        <v>53.193530620444953</v>
      </c>
      <c r="S80">
        <v>55.337222078940719</v>
      </c>
    </row>
    <row r="81" spans="1:19" x14ac:dyDescent="0.2">
      <c r="A81">
        <v>16</v>
      </c>
      <c r="B81">
        <v>4.55571239795227</v>
      </c>
      <c r="C81">
        <v>47.714594989914552</v>
      </c>
      <c r="D81">
        <v>47.721497055771678</v>
      </c>
      <c r="F81">
        <v>1.3961417461599051</v>
      </c>
      <c r="G81">
        <v>1.612339984107773</v>
      </c>
      <c r="I81">
        <v>6.5075012368562772</v>
      </c>
      <c r="J81">
        <v>6.5349644923240628</v>
      </c>
      <c r="L81">
        <v>58.870851427739723</v>
      </c>
      <c r="M81">
        <v>59.168968526482558</v>
      </c>
      <c r="O81">
        <v>-171.40288527243939</v>
      </c>
      <c r="P81">
        <v>-176.10523466507104</v>
      </c>
      <c r="R81">
        <v>53.715724856149613</v>
      </c>
      <c r="S81">
        <v>55.937123586073561</v>
      </c>
    </row>
    <row r="127" spans="3:15" x14ac:dyDescent="0.2">
      <c r="C127" t="s">
        <v>0</v>
      </c>
      <c r="D127" s="1" t="s">
        <v>1</v>
      </c>
      <c r="E127" s="1"/>
      <c r="F127" s="1"/>
      <c r="G127" s="1"/>
      <c r="H127" s="1"/>
      <c r="I127" s="1"/>
      <c r="J127" s="1"/>
      <c r="K127" s="1"/>
      <c r="L127" s="1"/>
      <c r="M127" s="1"/>
    </row>
    <row r="128" spans="3:15" x14ac:dyDescent="0.2">
      <c r="C128" t="s">
        <v>2</v>
      </c>
      <c r="D128" t="s">
        <v>3</v>
      </c>
      <c r="E128" t="s">
        <v>37</v>
      </c>
      <c r="F128" t="s">
        <v>41</v>
      </c>
      <c r="H128" t="s">
        <v>38</v>
      </c>
      <c r="I128" t="s">
        <v>42</v>
      </c>
      <c r="K128" t="s">
        <v>39</v>
      </c>
      <c r="L128" t="s">
        <v>43</v>
      </c>
      <c r="N128" t="s">
        <v>40</v>
      </c>
      <c r="O128" t="s">
        <v>44</v>
      </c>
    </row>
    <row r="129" spans="3:15" x14ac:dyDescent="0.2">
      <c r="F129">
        <v>10249.383227629267</v>
      </c>
      <c r="I129">
        <v>9574.8603668442756</v>
      </c>
      <c r="L129">
        <v>1.3033118267942765</v>
      </c>
      <c r="O129">
        <v>10.079709751751192</v>
      </c>
    </row>
    <row r="130" spans="3:15" x14ac:dyDescent="0.2">
      <c r="C130">
        <v>0</v>
      </c>
      <c r="D130">
        <v>8.2644874199152007E-3</v>
      </c>
      <c r="E130">
        <v>3430.8244751673851</v>
      </c>
      <c r="F130">
        <v>10236.427633461291</v>
      </c>
      <c r="H130">
        <v>3199.0913106616908</v>
      </c>
      <c r="I130">
        <v>9561.9857149427735</v>
      </c>
      <c r="K130">
        <v>0.33163688233194422</v>
      </c>
      <c r="L130">
        <v>4.7665213851016475</v>
      </c>
      <c r="N130">
        <v>3.4727931515157251</v>
      </c>
      <c r="O130">
        <v>22.688973798837893</v>
      </c>
    </row>
    <row r="131" spans="3:15" x14ac:dyDescent="0.2">
      <c r="C131">
        <v>1</v>
      </c>
      <c r="D131">
        <v>0.29135331865091352</v>
      </c>
      <c r="E131">
        <v>3425.9081723421159</v>
      </c>
      <c r="F131">
        <v>10265.520717963738</v>
      </c>
      <c r="H131">
        <v>3194.5413102065759</v>
      </c>
      <c r="I131">
        <v>9585.2703885774536</v>
      </c>
      <c r="K131">
        <v>1.31246774086261</v>
      </c>
      <c r="L131">
        <v>5.9411023346623928</v>
      </c>
      <c r="N131">
        <v>7.8706797211753319</v>
      </c>
      <c r="O131">
        <v>27.596400028480499</v>
      </c>
    </row>
    <row r="132" spans="3:15" x14ac:dyDescent="0.2">
      <c r="C132">
        <v>2</v>
      </c>
      <c r="D132">
        <v>0.57465123738784796</v>
      </c>
      <c r="E132">
        <v>3435.039872053876</v>
      </c>
      <c r="F132">
        <v>10288.469875564502</v>
      </c>
      <c r="H132">
        <v>3201.896021173638</v>
      </c>
      <c r="I132">
        <v>9597.4929838424814</v>
      </c>
      <c r="K132">
        <v>1.6748927984528961</v>
      </c>
      <c r="L132">
        <v>6.1210262458986016</v>
      </c>
      <c r="N132">
        <v>9.5052357725052552</v>
      </c>
      <c r="O132">
        <v>24.224451360319037</v>
      </c>
    </row>
    <row r="133" spans="3:15" x14ac:dyDescent="0.2">
      <c r="C133">
        <v>3</v>
      </c>
      <c r="D133">
        <v>0.85776608790893549</v>
      </c>
      <c r="E133">
        <v>3442.982448975341</v>
      </c>
      <c r="F133">
        <v>10314.666869406134</v>
      </c>
      <c r="H133">
        <v>3206.3194698978068</v>
      </c>
      <c r="I133">
        <v>9628.6501865643677</v>
      </c>
      <c r="K133">
        <v>1.800235754494486</v>
      </c>
      <c r="L133">
        <v>1.295597505856146</v>
      </c>
      <c r="N133">
        <v>8.3543109090504082</v>
      </c>
      <c r="O133">
        <v>3.1208625785828876</v>
      </c>
    </row>
    <row r="134" spans="3:15" x14ac:dyDescent="0.2">
      <c r="C134">
        <v>4</v>
      </c>
      <c r="D134">
        <v>1.14096438493271</v>
      </c>
      <c r="E134">
        <v>3450.734017823841</v>
      </c>
      <c r="F134">
        <v>10326.988576684873</v>
      </c>
      <c r="H134">
        <v>3215.711596412179</v>
      </c>
      <c r="I134">
        <v>9656.2752023943194</v>
      </c>
      <c r="K134">
        <v>0.39180326402773941</v>
      </c>
      <c r="L134">
        <v>0.34937326281746889</v>
      </c>
      <c r="N134">
        <v>1.0697169498414529</v>
      </c>
      <c r="O134">
        <v>8.4258688131588926</v>
      </c>
    </row>
    <row r="135" spans="3:15" x14ac:dyDescent="0.2">
      <c r="C135">
        <v>5</v>
      </c>
      <c r="D135">
        <v>1.42406165208359</v>
      </c>
      <c r="E135">
        <v>3454.545407051633</v>
      </c>
      <c r="F135">
        <v>10327.639395743914</v>
      </c>
      <c r="H135">
        <v>3224.7907297482238</v>
      </c>
      <c r="I135">
        <v>9652.8482520493199</v>
      </c>
      <c r="K135">
        <v>-1.297899864932282E-3</v>
      </c>
      <c r="L135">
        <v>3.7788926017831841</v>
      </c>
      <c r="N135">
        <v>2.9669356776471489</v>
      </c>
      <c r="O135">
        <v>24.046621769276772</v>
      </c>
    </row>
    <row r="136" spans="3:15" x14ac:dyDescent="0.2">
      <c r="C136">
        <v>6</v>
      </c>
      <c r="D136">
        <v>1.7074803074791001</v>
      </c>
      <c r="E136">
        <v>3455.836142740482</v>
      </c>
      <c r="F136">
        <v>10316.986374282153</v>
      </c>
      <c r="H136">
        <v>3223.8281529818928</v>
      </c>
      <c r="I136">
        <v>9630.5795586943386</v>
      </c>
      <c r="K136">
        <v>0.99298141995443567</v>
      </c>
      <c r="L136">
        <v>9.687186721766933</v>
      </c>
      <c r="N136">
        <v>8.2678337688798447</v>
      </c>
      <c r="O136">
        <v>41.738835393522152</v>
      </c>
    </row>
    <row r="137" spans="3:15" x14ac:dyDescent="0.2">
      <c r="C137">
        <v>7</v>
      </c>
      <c r="D137">
        <v>1.9905890187217701</v>
      </c>
      <c r="E137">
        <v>3451.6311999509312</v>
      </c>
      <c r="F137">
        <v>10395.367056641509</v>
      </c>
      <c r="H137">
        <v>3216.392193130705</v>
      </c>
      <c r="I137">
        <v>9691.1638146960213</v>
      </c>
      <c r="K137">
        <v>2.8467002299901898</v>
      </c>
      <c r="L137">
        <v>8.9498945908579994</v>
      </c>
      <c r="N137">
        <v>14.366860462890459</v>
      </c>
      <c r="O137">
        <v>35.005267831419971</v>
      </c>
    </row>
    <row r="138" spans="3:15" x14ac:dyDescent="0.2">
      <c r="C138">
        <v>8</v>
      </c>
      <c r="D138">
        <v>2.2737087568237349</v>
      </c>
      <c r="E138">
        <v>3475.5175178164168</v>
      </c>
      <c r="F138">
        <v>10361.998005169355</v>
      </c>
      <c r="H138">
        <v>3233.4977304429508</v>
      </c>
      <c r="I138">
        <v>9665.7298277302543</v>
      </c>
      <c r="K138">
        <v>2.3532900894600108</v>
      </c>
      <c r="L138">
        <v>1.7979670908284282</v>
      </c>
      <c r="N138">
        <v>11.11844014070202</v>
      </c>
      <c r="O138">
        <v>14.179950596079777</v>
      </c>
    </row>
    <row r="139" spans="3:15" x14ac:dyDescent="0.2">
      <c r="C139">
        <v>9</v>
      </c>
      <c r="D139">
        <v>2.57336932029266</v>
      </c>
      <c r="E139">
        <v>3463.952816131999</v>
      </c>
      <c r="F139">
        <v>10356.048880270615</v>
      </c>
      <c r="H139">
        <v>3227.2404578656369</v>
      </c>
      <c r="I139">
        <v>9674.0838210734764</v>
      </c>
      <c r="K139">
        <v>5.8380935688228629E-2</v>
      </c>
      <c r="L139">
        <v>3.7298175215138514</v>
      </c>
      <c r="N139">
        <v>3.3877624835586442</v>
      </c>
      <c r="O139">
        <v>23.320704817241328</v>
      </c>
    </row>
    <row r="140" spans="3:15" x14ac:dyDescent="0.2">
      <c r="C140">
        <v>10</v>
      </c>
      <c r="D140">
        <v>2.85649400558014</v>
      </c>
      <c r="E140">
        <v>3464.5606295326979</v>
      </c>
      <c r="F140">
        <v>10384.053025991929</v>
      </c>
      <c r="H140">
        <v>3231.4829930300029</v>
      </c>
      <c r="I140">
        <v>9707.399215755373</v>
      </c>
      <c r="K140">
        <v>0.84266107340310137</v>
      </c>
      <c r="L140">
        <v>2.8316851372280434</v>
      </c>
      <c r="N140">
        <v>7.2995124302490506</v>
      </c>
      <c r="O140">
        <v>19.504841082164383</v>
      </c>
    </row>
    <row r="141" spans="3:15" x14ac:dyDescent="0.2">
      <c r="C141">
        <v>11</v>
      </c>
      <c r="D141">
        <v>3.1396140417053249</v>
      </c>
      <c r="E141">
        <v>3472.493462359128</v>
      </c>
      <c r="F141">
        <v>10371.888322169327</v>
      </c>
      <c r="H141">
        <v>3240.8646402774489</v>
      </c>
      <c r="I141">
        <v>9693.9456457207707</v>
      </c>
      <c r="K141">
        <v>0.85973672062211892</v>
      </c>
      <c r="L141">
        <v>4.2993130211507022</v>
      </c>
      <c r="N141">
        <v>6.4793403651132842</v>
      </c>
      <c r="O141">
        <v>20.561667128196937</v>
      </c>
    </row>
    <row r="142" spans="3:15" x14ac:dyDescent="0.2">
      <c r="C142">
        <v>12</v>
      </c>
      <c r="D142">
        <v>3.4228354057266248</v>
      </c>
      <c r="E142">
        <v>3465.7734194784998</v>
      </c>
      <c r="F142">
        <v>10354.143957899454</v>
      </c>
      <c r="H142">
        <v>3232.357903472935</v>
      </c>
      <c r="I142">
        <v>9675.1981130961813</v>
      </c>
      <c r="K142">
        <v>1.3864983806240929</v>
      </c>
      <c r="L142">
        <v>3.7318072630639776</v>
      </c>
      <c r="N142">
        <v>6.7562151895380911</v>
      </c>
      <c r="O142">
        <v>11.845595630969486</v>
      </c>
    </row>
    <row r="143" spans="3:15" x14ac:dyDescent="0.2">
      <c r="C143">
        <v>13</v>
      </c>
      <c r="D143">
        <v>3.7063656410171499</v>
      </c>
      <c r="E143">
        <v>3462.8071455376071</v>
      </c>
      <c r="F143">
        <v>10353.59388779702</v>
      </c>
      <c r="H143">
        <v>3231.293955794662</v>
      </c>
      <c r="I143">
        <v>9683.8927626362893</v>
      </c>
      <c r="K143">
        <v>0.75241955952216932</v>
      </c>
      <c r="L143">
        <v>0.66827016548908524</v>
      </c>
      <c r="N143">
        <v>2.7498236040470752</v>
      </c>
      <c r="O143">
        <v>12.574184235146342</v>
      </c>
    </row>
    <row r="144" spans="3:15" x14ac:dyDescent="0.2">
      <c r="C144">
        <v>14</v>
      </c>
      <c r="D144">
        <v>3.9894675573303249</v>
      </c>
      <c r="E144">
        <v>3462.1011190392128</v>
      </c>
      <c r="F144">
        <v>10350.375438451132</v>
      </c>
      <c r="H144">
        <v>3232.2834323653669</v>
      </c>
      <c r="I144">
        <v>9665.0586012186977</v>
      </c>
      <c r="K144">
        <v>-6.0565830838908319E-2</v>
      </c>
      <c r="L144">
        <v>4.8109127103597782</v>
      </c>
      <c r="N144">
        <v>3.682316889231799</v>
      </c>
      <c r="O144">
        <v>29.223692873104795</v>
      </c>
    </row>
    <row r="145" spans="3:15" x14ac:dyDescent="0.2">
      <c r="C145">
        <v>15</v>
      </c>
      <c r="D145">
        <v>4.2726077398254407</v>
      </c>
      <c r="E145">
        <v>3457.117051816937</v>
      </c>
      <c r="F145">
        <v>10333.658681799436</v>
      </c>
      <c r="H145">
        <v>3222.7446133834742</v>
      </c>
      <c r="I145">
        <v>9647.3917869517263</v>
      </c>
      <c r="K145">
        <v>1.153622897839484</v>
      </c>
      <c r="L145">
        <v>7.9298924763035554</v>
      </c>
      <c r="N145">
        <v>8.8091141813767546</v>
      </c>
      <c r="O145">
        <v>38.634631955045521</v>
      </c>
    </row>
    <row r="146" spans="3:15" x14ac:dyDescent="0.2">
      <c r="C146">
        <v>16</v>
      </c>
      <c r="D146">
        <v>4.55571239795227</v>
      </c>
      <c r="E146">
        <v>3453.592390587457</v>
      </c>
      <c r="F146">
        <v>10369.05368815061</v>
      </c>
      <c r="H146">
        <v>3218.1839521881911</v>
      </c>
      <c r="I146">
        <v>9652.9845374410415</v>
      </c>
      <c r="K146">
        <v>2.03692112289633</v>
      </c>
      <c r="L146">
        <v>7.8430201054109432</v>
      </c>
      <c r="N146">
        <v>11.52524910960091</v>
      </c>
      <c r="O146">
        <v>31.71231325355258</v>
      </c>
    </row>
  </sheetData>
  <mergeCells count="10">
    <mergeCell ref="B62:H62"/>
    <mergeCell ref="D127:M127"/>
    <mergeCell ref="B1:H1"/>
    <mergeCell ref="V5:AG5"/>
    <mergeCell ref="V6:AA6"/>
    <mergeCell ref="AB6:AG6"/>
    <mergeCell ref="V7:X7"/>
    <mergeCell ref="Y7:AA7"/>
    <mergeCell ref="AB7:AD7"/>
    <mergeCell ref="AE7:A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hrxu@student.ubc.ca</cp:lastModifiedBy>
  <dcterms:created xsi:type="dcterms:W3CDTF">2026-08-07T03:23:49Z</dcterms:created>
  <dcterms:modified xsi:type="dcterms:W3CDTF">2026-08-10T23:23:15Z</dcterms:modified>
</cp:coreProperties>
</file>