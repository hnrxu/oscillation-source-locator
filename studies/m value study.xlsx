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13_ncr:1_{9678A400-2785-BD44-99FE-E4E7CB60128E}" xr6:coauthVersionLast="47" xr6:coauthVersionMax="47" xr10:uidLastSave="{00000000-0000-0000-0000-000000000000}"/>
  <bookViews>
    <workbookView xWindow="1500" yWindow="1320" windowWidth="27640" windowHeight="16880" xr2:uid="{85A47CF0-5B27-9E4A-B4FD-8FECB992F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" i="1" l="1"/>
  <c r="C124" i="1"/>
  <c r="L122" i="1"/>
  <c r="K122" i="1"/>
  <c r="J122" i="1"/>
  <c r="F122" i="1"/>
  <c r="E122" i="1"/>
  <c r="D122" i="1"/>
  <c r="L84" i="1"/>
  <c r="K84" i="1"/>
  <c r="J84" i="1"/>
  <c r="F84" i="1"/>
  <c r="E84" i="1"/>
  <c r="D84" i="1"/>
  <c r="C88" i="1"/>
  <c r="C86" i="1"/>
  <c r="C48" i="1"/>
  <c r="C46" i="1"/>
  <c r="C11" i="1"/>
  <c r="C9" i="1"/>
</calcChain>
</file>

<file path=xl/sharedStrings.xml><?xml version="1.0" encoding="utf-8"?>
<sst xmlns="http://schemas.openxmlformats.org/spreadsheetml/2006/main" count="85" uniqueCount="15">
  <si>
    <t>Voltage</t>
  </si>
  <si>
    <t>Current</t>
  </si>
  <si>
    <t>Magnitude (%)</t>
  </si>
  <si>
    <t>Angle (deg)</t>
  </si>
  <si>
    <t>F1</t>
  </si>
  <si>
    <t>IH1</t>
  </si>
  <si>
    <t>IH2</t>
  </si>
  <si>
    <t>true = 63.46752 (~num samples/2)</t>
  </si>
  <si>
    <t>m value</t>
  </si>
  <si>
    <t>Error by m value - Case 1 WF23</t>
  </si>
  <si>
    <t>Error by m value - Case 2 SF51</t>
  </si>
  <si>
    <t>`</t>
  </si>
  <si>
    <t>Error by m value - test case</t>
  </si>
  <si>
    <t>true = 0</t>
  </si>
  <si>
    <t>true =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</si>
</sst>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body narrow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0" fontId="1" fillId="9" borderId="3" xfId="0" applyFont="1" applyFill="1" applyBorder="1"/>
    <xf numFmtId="11" fontId="0" fillId="4" borderId="0" xfId="0" applyNumberFormat="1" applyFill="1"/>
    <xf numFmtId="0" fontId="0" fillId="6" borderId="0" xfId="0" applyFill="1"/>
    <xf numFmtId="0" fontId="0" fillId="7" borderId="0" xfId="0" applyFill="1"/>
    <xf numFmtId="11" fontId="0" fillId="5" borderId="0" xfId="0" applyNumberFormat="1" applyFill="1"/>
    <xf numFmtId="0" fontId="0" fillId="8" borderId="0" xfId="0" applyFill="1"/>
    <xf numFmtId="0" fontId="0" fillId="9" borderId="0" xfId="0" applyFill="1"/>
    <xf numFmtId="0" fontId="0" fillId="0" borderId="4" xfId="0" applyBorder="1" applyAlignment="1">
      <alignment horizontal="left"/>
    </xf>
    <xf numFmtId="0" fontId="0" fillId="4" borderId="0" xfId="0" applyFill="1"/>
    <xf numFmtId="0" fontId="0" fillId="5" borderId="0" xfId="0" applyFill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5" borderId="0" xfId="0" applyFont="1" applyFill="1" applyBorder="1"/>
    <xf numFmtId="0" fontId="1" fillId="8" borderId="0" xfId="0" applyFont="1" applyFill="1" applyBorder="1"/>
    <xf numFmtId="0" fontId="2" fillId="0" borderId="0" xfId="0" applyFont="1" applyBorder="1" applyAlignment="1">
      <alignment horizontal="left"/>
    </xf>
    <xf numFmtId="0" fontId="0" fillId="4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5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9" borderId="3" xfId="0" applyFill="1" applyBorder="1"/>
    <xf numFmtId="0" fontId="0" fillId="0" borderId="0" xfId="0" applyBorder="1" applyAlignment="1">
      <alignment horizontal="left"/>
    </xf>
    <xf numFmtId="0" fontId="0" fillId="4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5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9" borderId="5" xfId="0" applyFill="1" applyBorder="1"/>
    <xf numFmtId="0" fontId="0" fillId="0" borderId="0" xfId="0" applyBorder="1" applyAlignment="1">
      <alignment horizontal="center" vertical="center" wrapText="1"/>
    </xf>
    <xf numFmtId="11" fontId="0" fillId="0" borderId="0" xfId="0" applyNumberFormat="1"/>
    <xf numFmtId="11" fontId="0" fillId="6" borderId="0" xfId="0" applyNumberFormat="1" applyFill="1"/>
    <xf numFmtId="0" fontId="0" fillId="10" borderId="0" xfId="0" applyFill="1"/>
    <xf numFmtId="11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by m value - Case 1 WF23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Sheet1!$E$4:$E$7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IH1</c:v>
                </c:pt>
                <c:pt idx="3">
                  <c:v>1.12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Sheet1!$E$8:$E$11</c:f>
              <c:numCache>
                <c:formatCode>General</c:formatCode>
                <c:ptCount val="4"/>
                <c:pt idx="0">
                  <c:v>0.22375080428647301</c:v>
                </c:pt>
                <c:pt idx="1">
                  <c:v>7.7995786830834497</c:v>
                </c:pt>
                <c:pt idx="2">
                  <c:v>0.17171667705017499</c:v>
                </c:pt>
                <c:pt idx="3">
                  <c:v>7.7995786830841096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AB-9D40-B344-1F7394377877}"/>
            </c:ext>
          </c:extLst>
        </c:ser>
        <c:ser>
          <c:idx val="2"/>
          <c:order val="1"/>
          <c:tx>
            <c:strRef>
              <c:f>Sheet1!$F$4:$F$7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IH2</c:v>
                </c:pt>
                <c:pt idx="3">
                  <c:v>2.11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Sheet1!$F$8:$F$11</c:f>
              <c:numCache>
                <c:formatCode>General</c:formatCode>
                <c:ptCount val="4"/>
                <c:pt idx="0">
                  <c:v>7.8070939486223095E-2</c:v>
                </c:pt>
                <c:pt idx="1">
                  <c:v>2.4264345007117698</c:v>
                </c:pt>
                <c:pt idx="2">
                  <c:v>5.1854175299510197E-2</c:v>
                </c:pt>
                <c:pt idx="3">
                  <c:v>2.4264345007119701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AB-9D40-B344-1F7394377877}"/>
            </c:ext>
          </c:extLst>
        </c:ser>
        <c:ser>
          <c:idx val="4"/>
          <c:order val="2"/>
          <c:tx>
            <c:strRef>
              <c:f>Sheet1!$H$4:$H$7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IH1</c:v>
                </c:pt>
                <c:pt idx="3">
                  <c:v>2.11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Sheet1!$H$8:$H$11</c:f>
              <c:numCache>
                <c:formatCode>General</c:formatCode>
                <c:ptCount val="4"/>
                <c:pt idx="0">
                  <c:v>10.3404941946124</c:v>
                </c:pt>
                <c:pt idx="1">
                  <c:v>7.5705944386300699</c:v>
                </c:pt>
                <c:pt idx="2">
                  <c:v>0.34143690664391402</c:v>
                </c:pt>
                <c:pt idx="3">
                  <c:v>5.8215009227073198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AB-9D40-B344-1F7394377877}"/>
            </c:ext>
          </c:extLst>
        </c:ser>
        <c:ser>
          <c:idx val="5"/>
          <c:order val="3"/>
          <c:tx>
            <c:strRef>
              <c:f>Sheet1!$I$4:$I$7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IH2</c:v>
                </c:pt>
                <c:pt idx="3">
                  <c:v>2.11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Sheet1!$I$8:$I$11</c:f>
              <c:numCache>
                <c:formatCode>General</c:formatCode>
                <c:ptCount val="4"/>
                <c:pt idx="0">
                  <c:v>10.44759412088</c:v>
                </c:pt>
                <c:pt idx="1">
                  <c:v>5.5559626046150203</c:v>
                </c:pt>
                <c:pt idx="2">
                  <c:v>0.18639265678729799</c:v>
                </c:pt>
                <c:pt idx="3">
                  <c:v>5.3575120040090303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AB-9D40-B344-1F7394377877}"/>
            </c:ext>
          </c:extLst>
        </c:ser>
        <c:ser>
          <c:idx val="7"/>
          <c:order val="4"/>
          <c:tx>
            <c:strRef>
              <c:f>Sheet1!$K$4:$K$7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IH1</c:v>
                </c:pt>
                <c:pt idx="3">
                  <c:v>1.25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Sheet1!$K$8:$K$11</c:f>
              <c:numCache>
                <c:formatCode>General</c:formatCode>
                <c:ptCount val="4"/>
                <c:pt idx="0">
                  <c:v>0.87855217538665098</c:v>
                </c:pt>
                <c:pt idx="1">
                  <c:v>13.843399756547599</c:v>
                </c:pt>
                <c:pt idx="2">
                  <c:v>0.69115345903674297</c:v>
                </c:pt>
                <c:pt idx="3">
                  <c:v>13.8433997565465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AB-9D40-B344-1F7394377877}"/>
            </c:ext>
          </c:extLst>
        </c:ser>
        <c:ser>
          <c:idx val="8"/>
          <c:order val="5"/>
          <c:tx>
            <c:strRef>
              <c:f>Sheet1!$L$4:$L$7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IH2</c:v>
                </c:pt>
                <c:pt idx="3">
                  <c:v>5.9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Sheet1!$L$8:$L$11</c:f>
              <c:numCache>
                <c:formatCode>General</c:formatCode>
                <c:ptCount val="4"/>
                <c:pt idx="0">
                  <c:v>4.3141927220493703E-2</c:v>
                </c:pt>
                <c:pt idx="1">
                  <c:v>0.64872937628609495</c:v>
                </c:pt>
                <c:pt idx="2">
                  <c:v>4.1045338623689802E-2</c:v>
                </c:pt>
                <c:pt idx="3">
                  <c:v>0.64872937628600502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AB-9D40-B344-1F7394377877}"/>
            </c:ext>
          </c:extLst>
        </c:ser>
        <c:ser>
          <c:idx val="10"/>
          <c:order val="6"/>
          <c:tx>
            <c:strRef>
              <c:f>Sheet1!$N$4:$N$7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IH1</c:v>
                </c:pt>
                <c:pt idx="3">
                  <c:v>5.9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Sheet1!$N$8:$N$11</c:f>
              <c:numCache>
                <c:formatCode>General</c:formatCode>
                <c:ptCount val="4"/>
                <c:pt idx="0">
                  <c:v>10.5078106269934</c:v>
                </c:pt>
                <c:pt idx="1">
                  <c:v>19.0731910385202</c:v>
                </c:pt>
                <c:pt idx="2">
                  <c:v>0.30237016814676199</c:v>
                </c:pt>
                <c:pt idx="3">
                  <c:v>9.6702242405897199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AB-9D40-B344-1F7394377877}"/>
            </c:ext>
          </c:extLst>
        </c:ser>
        <c:ser>
          <c:idx val="11"/>
          <c:order val="7"/>
          <c:tx>
            <c:strRef>
              <c:f>Sheet1!$O$4:$O$7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IH2</c:v>
                </c:pt>
                <c:pt idx="3">
                  <c:v>5.9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Sheet1!$C$8:$C$11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Sheet1!$O$8:$O$11</c:f>
              <c:numCache>
                <c:formatCode>General</c:formatCode>
                <c:ptCount val="4"/>
                <c:pt idx="0">
                  <c:v>10.4891174175008</c:v>
                </c:pt>
                <c:pt idx="1">
                  <c:v>5.7603419265328597</c:v>
                </c:pt>
                <c:pt idx="2">
                  <c:v>0.12753018345964701</c:v>
                </c:pt>
                <c:pt idx="3">
                  <c:v>4.83835550680742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AB-9D40-B344-1F7394377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088800"/>
        <c:axId val="140835615"/>
      </c:lineChart>
      <c:catAx>
        <c:axId val="14810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5615"/>
        <c:crosses val="autoZero"/>
        <c:auto val="1"/>
        <c:lblAlgn val="ctr"/>
        <c:lblOffset val="100"/>
        <c:noMultiLvlLbl val="0"/>
      </c:catAx>
      <c:valAx>
        <c:axId val="14083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08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Error by m value - Case 2 SF51</a:t>
            </a:r>
            <a:r>
              <a:rPr lang="en-CA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Sheet1!$E$41:$E$44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IH1</c:v>
                </c:pt>
                <c:pt idx="3">
                  <c:v>0.167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Sheet1!$E$45:$E$48</c:f>
              <c:numCache>
                <c:formatCode>General</c:formatCode>
                <c:ptCount val="4"/>
                <c:pt idx="0">
                  <c:v>4.4137590820029304</c:v>
                </c:pt>
                <c:pt idx="1">
                  <c:v>43.457002373813403</c:v>
                </c:pt>
                <c:pt idx="2">
                  <c:v>0.27176022159733798</c:v>
                </c:pt>
                <c:pt idx="3">
                  <c:v>43.457002373812998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7-7342-AA22-4A723FB2F4E2}"/>
            </c:ext>
          </c:extLst>
        </c:ser>
        <c:ser>
          <c:idx val="2"/>
          <c:order val="1"/>
          <c:tx>
            <c:strRef>
              <c:f>Sheet1!$F$41:$F$44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IH2</c:v>
                </c:pt>
                <c:pt idx="3">
                  <c:v>1.3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Sheet1!$F$45:$F$48</c:f>
              <c:numCache>
                <c:formatCode>General</c:formatCode>
                <c:ptCount val="4"/>
                <c:pt idx="0">
                  <c:v>8.4675504624575695E-2</c:v>
                </c:pt>
                <c:pt idx="1">
                  <c:v>2.23109120592928</c:v>
                </c:pt>
                <c:pt idx="2">
                  <c:v>4.2780739562193202E-3</c:v>
                </c:pt>
                <c:pt idx="3">
                  <c:v>2.23109120592843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7-7342-AA22-4A723FB2F4E2}"/>
            </c:ext>
          </c:extLst>
        </c:ser>
        <c:ser>
          <c:idx val="4"/>
          <c:order val="2"/>
          <c:tx>
            <c:strRef>
              <c:f>Sheet1!$H$41:$H$44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IH1</c:v>
                </c:pt>
                <c:pt idx="3">
                  <c:v>1.3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Sheet1!$H$45:$H$48</c:f>
              <c:numCache>
                <c:formatCode>General</c:formatCode>
                <c:ptCount val="4"/>
                <c:pt idx="0">
                  <c:v>45.355199088398699</c:v>
                </c:pt>
                <c:pt idx="1">
                  <c:v>50.584452310884402</c:v>
                </c:pt>
                <c:pt idx="2">
                  <c:v>3.2044600007555699E-2</c:v>
                </c:pt>
                <c:pt idx="3">
                  <c:v>95.340692448022693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A7-7342-AA22-4A723FB2F4E2}"/>
            </c:ext>
          </c:extLst>
        </c:ser>
        <c:ser>
          <c:idx val="5"/>
          <c:order val="3"/>
          <c:tx>
            <c:strRef>
              <c:f>Sheet1!$I$41:$I$44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IH2</c:v>
                </c:pt>
                <c:pt idx="3">
                  <c:v>1.3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Sheet1!$I$45:$I$48</c:f>
              <c:numCache>
                <c:formatCode>General</c:formatCode>
                <c:ptCount val="4"/>
                <c:pt idx="0">
                  <c:v>44.615174853890998</c:v>
                </c:pt>
                <c:pt idx="1">
                  <c:v>20.1586062443568</c:v>
                </c:pt>
                <c:pt idx="2">
                  <c:v>2.3091910388783402E-2</c:v>
                </c:pt>
                <c:pt idx="3">
                  <c:v>24.848705492333298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A7-7342-AA22-4A723FB2F4E2}"/>
            </c:ext>
          </c:extLst>
        </c:ser>
        <c:ser>
          <c:idx val="7"/>
          <c:order val="4"/>
          <c:tx>
            <c:strRef>
              <c:f>Sheet1!$K$41:$K$44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IH1</c:v>
                </c:pt>
                <c:pt idx="3">
                  <c:v>5.84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Sheet1!$K$45:$K$48</c:f>
              <c:numCache>
                <c:formatCode>General</c:formatCode>
                <c:ptCount val="4"/>
                <c:pt idx="0">
                  <c:v>1.0676650890952</c:v>
                </c:pt>
                <c:pt idx="1">
                  <c:v>35.240304495168701</c:v>
                </c:pt>
                <c:pt idx="2">
                  <c:v>7.2079676448087396E-2</c:v>
                </c:pt>
                <c:pt idx="3" formatCode="0.00E+00">
                  <c:v>35.2403044951688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A7-7342-AA22-4A723FB2F4E2}"/>
            </c:ext>
          </c:extLst>
        </c:ser>
        <c:ser>
          <c:idx val="8"/>
          <c:order val="5"/>
          <c:tx>
            <c:strRef>
              <c:f>Sheet1!$L$41:$L$44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IH2</c:v>
                </c:pt>
                <c:pt idx="3">
                  <c:v>17.9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Sheet1!$L$45:$L$48</c:f>
              <c:numCache>
                <c:formatCode>General</c:formatCode>
                <c:ptCount val="4"/>
                <c:pt idx="0">
                  <c:v>0.14618327284202001</c:v>
                </c:pt>
                <c:pt idx="1">
                  <c:v>10.965128920599399</c:v>
                </c:pt>
                <c:pt idx="2">
                  <c:v>1.03760284992311E-2</c:v>
                </c:pt>
                <c:pt idx="3">
                  <c:v>10.965128920599399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A7-7342-AA22-4A723FB2F4E2}"/>
            </c:ext>
          </c:extLst>
        </c:ser>
        <c:ser>
          <c:idx val="10"/>
          <c:order val="6"/>
          <c:tx>
            <c:strRef>
              <c:f>Sheet1!$N$41:$N$44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IH1</c:v>
                </c:pt>
                <c:pt idx="3">
                  <c:v>17.9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Sheet1!$N$45:$N$48</c:f>
              <c:numCache>
                <c:formatCode>General</c:formatCode>
                <c:ptCount val="4"/>
                <c:pt idx="0">
                  <c:v>43.985608516044401</c:v>
                </c:pt>
                <c:pt idx="1">
                  <c:v>38.653362881352599</c:v>
                </c:pt>
                <c:pt idx="2">
                  <c:v>7.4304893485778803E-2</c:v>
                </c:pt>
                <c:pt idx="3">
                  <c:v>6.5130388260926697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EA7-7342-AA22-4A723FB2F4E2}"/>
            </c:ext>
          </c:extLst>
        </c:ser>
        <c:ser>
          <c:idx val="11"/>
          <c:order val="7"/>
          <c:tx>
            <c:strRef>
              <c:f>Sheet1!$O$41:$O$44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IH2</c:v>
                </c:pt>
                <c:pt idx="3">
                  <c:v>17.9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Sheet1!$C$45:$C$48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63.46752</c:v>
                </c:pt>
                <c:pt idx="3">
                  <c:v>96</c:v>
                </c:pt>
              </c:numCache>
            </c:numRef>
          </c:cat>
          <c:val>
            <c:numRef>
              <c:f>Sheet1!$O$45:$O$48</c:f>
              <c:numCache>
                <c:formatCode>General</c:formatCode>
                <c:ptCount val="4"/>
                <c:pt idx="0">
                  <c:v>44.503220697609102</c:v>
                </c:pt>
                <c:pt idx="1">
                  <c:v>25.969377031096201</c:v>
                </c:pt>
                <c:pt idx="2">
                  <c:v>2.8963469128291799E-2</c:v>
                </c:pt>
                <c:pt idx="3">
                  <c:v>19.032728305550702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EA7-7342-AA22-4A723FB2F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67951"/>
        <c:axId val="1868007647"/>
      </c:lineChart>
      <c:catAx>
        <c:axId val="10836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007647"/>
        <c:crosses val="autoZero"/>
        <c:auto val="1"/>
        <c:lblAlgn val="ctr"/>
        <c:lblOffset val="100"/>
        <c:noMultiLvlLbl val="0"/>
      </c:catAx>
      <c:valAx>
        <c:axId val="18680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6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>
                <a:effectLst/>
              </a:rPr>
              <a:t>Error by m value - test case</a:t>
            </a:r>
            <a:r>
              <a:rPr lang="en-CA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Sheet1!$E$81:$E$84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IH1</c:v>
                </c:pt>
                <c:pt idx="3">
                  <c:v>35.35533906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Sheet1!$E$85:$E$88</c:f>
              <c:numCache>
                <c:formatCode>General</c:formatCode>
                <c:ptCount val="4"/>
                <c:pt idx="0">
                  <c:v>0</c:v>
                </c:pt>
                <c:pt idx="1">
                  <c:v>0.95937493032495502</c:v>
                </c:pt>
                <c:pt idx="2" formatCode="0.00E+00">
                  <c:v>6.43109871076886E-14</c:v>
                </c:pt>
                <c:pt idx="3">
                  <c:v>0.95937493032478804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80-DF44-8767-01AC2A567BD9}"/>
            </c:ext>
          </c:extLst>
        </c:ser>
        <c:ser>
          <c:idx val="2"/>
          <c:order val="1"/>
          <c:tx>
            <c:strRef>
              <c:f>Sheet1!$F$81:$F$84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IH2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Sheet1!$F$85:$F$88</c:f>
              <c:numCache>
                <c:formatCode>General</c:formatCode>
                <c:ptCount val="4"/>
                <c:pt idx="0">
                  <c:v>0</c:v>
                </c:pt>
                <c:pt idx="1">
                  <c:v>43.762350279568999</c:v>
                </c:pt>
                <c:pt idx="2" formatCode="0.00E+00">
                  <c:v>5.5518469339051202E-13</c:v>
                </c:pt>
                <c:pt idx="3">
                  <c:v>43.7623502795701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0-DF44-8767-01AC2A567BD9}"/>
            </c:ext>
          </c:extLst>
        </c:ser>
        <c:ser>
          <c:idx val="4"/>
          <c:order val="2"/>
          <c:tx>
            <c:strRef>
              <c:f>Sheet1!$H$81:$H$84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IH1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Sheet1!$H$85:$H$88</c:f>
              <c:numCache>
                <c:formatCode>General</c:formatCode>
                <c:ptCount val="4"/>
                <c:pt idx="0">
                  <c:v>0</c:v>
                </c:pt>
                <c:pt idx="1">
                  <c:v>5.2741482812382703</c:v>
                </c:pt>
                <c:pt idx="2">
                  <c:v>10.588235294117601</c:v>
                </c:pt>
                <c:pt idx="3">
                  <c:v>15.862383575355899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80-DF44-8767-01AC2A567BD9}"/>
            </c:ext>
          </c:extLst>
        </c:ser>
        <c:ser>
          <c:idx val="5"/>
          <c:order val="3"/>
          <c:tx>
            <c:strRef>
              <c:f>Sheet1!$I$81:$I$84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IH2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Sheet1!$I$85:$I$88</c:f>
              <c:numCache>
                <c:formatCode>General</c:formatCode>
                <c:ptCount val="4"/>
                <c:pt idx="0">
                  <c:v>0</c:v>
                </c:pt>
                <c:pt idx="1">
                  <c:v>4.5255489874950703</c:v>
                </c:pt>
                <c:pt idx="2">
                  <c:v>10.5882352941174</c:v>
                </c:pt>
                <c:pt idx="3">
                  <c:v>15.113784281612499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80-DF44-8767-01AC2A567BD9}"/>
            </c:ext>
          </c:extLst>
        </c:ser>
        <c:ser>
          <c:idx val="7"/>
          <c:order val="4"/>
          <c:tx>
            <c:strRef>
              <c:f>Sheet1!$K$81:$K$84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IH1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Sheet1!$K$85:$K$88</c:f>
              <c:numCache>
                <c:formatCode>General</c:formatCode>
                <c:ptCount val="4"/>
                <c:pt idx="0">
                  <c:v>0</c:v>
                </c:pt>
                <c:pt idx="1">
                  <c:v>2.61173734662444</c:v>
                </c:pt>
                <c:pt idx="2" formatCode="0.00E+00">
                  <c:v>1.29375618595543E-13</c:v>
                </c:pt>
                <c:pt idx="3">
                  <c:v>2.6117373466243201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80-DF44-8767-01AC2A567BD9}"/>
            </c:ext>
          </c:extLst>
        </c:ser>
        <c:ser>
          <c:idx val="8"/>
          <c:order val="5"/>
          <c:tx>
            <c:strRef>
              <c:f>Sheet1!$L$81:$L$84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IH2</c:v>
                </c:pt>
                <c:pt idx="3">
                  <c:v>3.535533906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Sheet1!$L$85:$L$88</c:f>
              <c:numCache>
                <c:formatCode>General</c:formatCode>
                <c:ptCount val="4"/>
                <c:pt idx="0">
                  <c:v>0</c:v>
                </c:pt>
                <c:pt idx="1">
                  <c:v>14.0038956314889</c:v>
                </c:pt>
                <c:pt idx="2" formatCode="0.00E+00">
                  <c:v>3.7179789421631099E-13</c:v>
                </c:pt>
                <c:pt idx="3">
                  <c:v>14.003895631489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80-DF44-8767-01AC2A567BD9}"/>
            </c:ext>
          </c:extLst>
        </c:ser>
        <c:ser>
          <c:idx val="10"/>
          <c:order val="6"/>
          <c:tx>
            <c:strRef>
              <c:f>Sheet1!$N$81:$N$84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IH1</c:v>
                </c:pt>
                <c:pt idx="3">
                  <c:v>3.535533906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Sheet1!$N$85:$N$88</c:f>
              <c:numCache>
                <c:formatCode>General</c:formatCode>
                <c:ptCount val="4"/>
                <c:pt idx="0">
                  <c:v>0</c:v>
                </c:pt>
                <c:pt idx="1">
                  <c:v>5.2523055817629301</c:v>
                </c:pt>
                <c:pt idx="2">
                  <c:v>10.588235294117499</c:v>
                </c:pt>
                <c:pt idx="3">
                  <c:v>15.8405408758805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80-DF44-8767-01AC2A567BD9}"/>
            </c:ext>
          </c:extLst>
        </c:ser>
        <c:ser>
          <c:idx val="11"/>
          <c:order val="7"/>
          <c:tx>
            <c:strRef>
              <c:f>Sheet1!$O$81:$O$84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IH2</c:v>
                </c:pt>
                <c:pt idx="3">
                  <c:v>3.535533906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Sheet1!$C$85:$C$88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Sheet1!$O$85:$O$88</c:f>
              <c:numCache>
                <c:formatCode>General</c:formatCode>
                <c:ptCount val="4"/>
                <c:pt idx="0">
                  <c:v>0</c:v>
                </c:pt>
                <c:pt idx="1">
                  <c:v>5.08647852728331</c:v>
                </c:pt>
                <c:pt idx="2">
                  <c:v>10.588235294117499</c:v>
                </c:pt>
                <c:pt idx="3">
                  <c:v>15.6747138214008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80-DF44-8767-01AC2A567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566992"/>
        <c:axId val="911775200"/>
      </c:lineChart>
      <c:catAx>
        <c:axId val="91156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775200"/>
        <c:crosses val="autoZero"/>
        <c:auto val="1"/>
        <c:lblAlgn val="ctr"/>
        <c:lblOffset val="100"/>
        <c:noMultiLvlLbl val="0"/>
      </c:catAx>
      <c:valAx>
        <c:axId val="91177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56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by m value - test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Sheet1!$E$119:$E$122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IH1</c:v>
                </c:pt>
                <c:pt idx="3">
                  <c:v>35.35533906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Sheet1!$E$123:$E$126</c:f>
              <c:numCache>
                <c:formatCode>General</c:formatCode>
                <c:ptCount val="4"/>
                <c:pt idx="0">
                  <c:v>0.95937493032490595</c:v>
                </c:pt>
                <c:pt idx="1">
                  <c:v>0</c:v>
                </c:pt>
                <c:pt idx="2">
                  <c:v>0.95937493032492804</c:v>
                </c:pt>
                <c:pt idx="3" formatCode="0.00E+00">
                  <c:v>1.24602537521145E-13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F-6748-8AD1-9E806DB6D5DB}"/>
            </c:ext>
          </c:extLst>
        </c:ser>
        <c:ser>
          <c:idx val="2"/>
          <c:order val="1"/>
          <c:tx>
            <c:strRef>
              <c:f>Sheet1!$F$119:$F$122</c:f>
              <c:strCache>
                <c:ptCount val="4"/>
                <c:pt idx="0">
                  <c:v>Voltage</c:v>
                </c:pt>
                <c:pt idx="1">
                  <c:v>Magnitude (%)</c:v>
                </c:pt>
                <c:pt idx="2">
                  <c:v>IH2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Sheet1!$F$123:$F$126</c:f>
              <c:numCache>
                <c:formatCode>General</c:formatCode>
                <c:ptCount val="4"/>
                <c:pt idx="0">
                  <c:v>43.762350279569098</c:v>
                </c:pt>
                <c:pt idx="1">
                  <c:v>0</c:v>
                </c:pt>
                <c:pt idx="2">
                  <c:v>43.762350279568601</c:v>
                </c:pt>
                <c:pt idx="3" formatCode="0.00E+00">
                  <c:v>4.30833370662789E-13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6F-6748-8AD1-9E806DB6D5DB}"/>
            </c:ext>
          </c:extLst>
        </c:ser>
        <c:ser>
          <c:idx val="4"/>
          <c:order val="2"/>
          <c:tx>
            <c:strRef>
              <c:f>Sheet1!$H$119:$H$122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IH1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Sheet1!$H$123:$H$126</c:f>
              <c:numCache>
                <c:formatCode>General</c:formatCode>
                <c:ptCount val="4"/>
                <c:pt idx="0">
                  <c:v>5.3140870128794697</c:v>
                </c:pt>
                <c:pt idx="1">
                  <c:v>0</c:v>
                </c:pt>
                <c:pt idx="2">
                  <c:v>5.2741482812381397</c:v>
                </c:pt>
                <c:pt idx="3">
                  <c:v>10.588235294117499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6F-6748-8AD1-9E806DB6D5DB}"/>
            </c:ext>
          </c:extLst>
        </c:ser>
        <c:ser>
          <c:idx val="5"/>
          <c:order val="3"/>
          <c:tx>
            <c:strRef>
              <c:f>Sheet1!$I$119:$I$122</c:f>
              <c:strCache>
                <c:ptCount val="4"/>
                <c:pt idx="0">
                  <c:v>Voltage</c:v>
                </c:pt>
                <c:pt idx="1">
                  <c:v>Angle (deg)</c:v>
                </c:pt>
                <c:pt idx="2">
                  <c:v>IH2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Sheet1!$I$123:$I$126</c:f>
              <c:numCache>
                <c:formatCode>General</c:formatCode>
                <c:ptCount val="4"/>
                <c:pt idx="0">
                  <c:v>6.0626863066223198</c:v>
                </c:pt>
                <c:pt idx="1">
                  <c:v>0</c:v>
                </c:pt>
                <c:pt idx="2">
                  <c:v>4.52554898749539</c:v>
                </c:pt>
                <c:pt idx="3">
                  <c:v>10.5882352941174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6F-6748-8AD1-9E806DB6D5DB}"/>
            </c:ext>
          </c:extLst>
        </c:ser>
        <c:ser>
          <c:idx val="7"/>
          <c:order val="4"/>
          <c:tx>
            <c:strRef>
              <c:f>Sheet1!$K$119:$K$122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IH1</c:v>
                </c:pt>
                <c:pt idx="3">
                  <c:v>7.071067812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Sheet1!$K$123:$K$126</c:f>
              <c:numCache>
                <c:formatCode>General</c:formatCode>
                <c:ptCount val="4"/>
                <c:pt idx="0">
                  <c:v>2.61173734662446</c:v>
                </c:pt>
                <c:pt idx="1">
                  <c:v>0</c:v>
                </c:pt>
                <c:pt idx="2">
                  <c:v>2.61173734662444</c:v>
                </c:pt>
                <c:pt idx="3" formatCode="0.00E+00">
                  <c:v>1.45704580165855E-13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6F-6748-8AD1-9E806DB6D5DB}"/>
            </c:ext>
          </c:extLst>
        </c:ser>
        <c:ser>
          <c:idx val="8"/>
          <c:order val="5"/>
          <c:tx>
            <c:strRef>
              <c:f>Sheet1!$L$119:$L$122</c:f>
              <c:strCache>
                <c:ptCount val="4"/>
                <c:pt idx="0">
                  <c:v>Current</c:v>
                </c:pt>
                <c:pt idx="1">
                  <c:v>Magnitude (%)</c:v>
                </c:pt>
                <c:pt idx="2">
                  <c:v>IH2</c:v>
                </c:pt>
                <c:pt idx="3">
                  <c:v>3.535533906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Sheet1!$L$123:$L$126</c:f>
              <c:numCache>
                <c:formatCode>General</c:formatCode>
                <c:ptCount val="4"/>
                <c:pt idx="0">
                  <c:v>14.003895631488801</c:v>
                </c:pt>
                <c:pt idx="1">
                  <c:v>0</c:v>
                </c:pt>
                <c:pt idx="2">
                  <c:v>14.0038956314886</c:v>
                </c:pt>
                <c:pt idx="3" formatCode="0.00E+00">
                  <c:v>2.2358116611656499E-13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6F-6748-8AD1-9E806DB6D5DB}"/>
            </c:ext>
          </c:extLst>
        </c:ser>
        <c:ser>
          <c:idx val="10"/>
          <c:order val="6"/>
          <c:tx>
            <c:strRef>
              <c:f>Sheet1!$N$119:$N$122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IH1</c:v>
                </c:pt>
                <c:pt idx="3">
                  <c:v>3.535533906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Sheet1!$N$123:$N$126</c:f>
              <c:numCache>
                <c:formatCode>General</c:formatCode>
                <c:ptCount val="4"/>
                <c:pt idx="0">
                  <c:v>5.3359297123548002</c:v>
                </c:pt>
                <c:pt idx="1">
                  <c:v>0</c:v>
                </c:pt>
                <c:pt idx="2">
                  <c:v>5.2523055817628297</c:v>
                </c:pt>
                <c:pt idx="3">
                  <c:v>10.588235294117499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E6F-6748-8AD1-9E806DB6D5DB}"/>
            </c:ext>
          </c:extLst>
        </c:ser>
        <c:ser>
          <c:idx val="11"/>
          <c:order val="7"/>
          <c:tx>
            <c:strRef>
              <c:f>Sheet1!$O$119:$O$122</c:f>
              <c:strCache>
                <c:ptCount val="4"/>
                <c:pt idx="0">
                  <c:v>Current</c:v>
                </c:pt>
                <c:pt idx="1">
                  <c:v>Angle (deg)</c:v>
                </c:pt>
                <c:pt idx="2">
                  <c:v>IH2</c:v>
                </c:pt>
                <c:pt idx="3">
                  <c:v>3.535533906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Sheet1!$C$123:$C$126</c:f>
              <c:numCache>
                <c:formatCode>General</c:formatCode>
                <c:ptCount val="4"/>
                <c:pt idx="0">
                  <c:v>0</c:v>
                </c:pt>
                <c:pt idx="1">
                  <c:v>32</c:v>
                </c:pt>
                <c:pt idx="2">
                  <c:v>64</c:v>
                </c:pt>
                <c:pt idx="3">
                  <c:v>96</c:v>
                </c:pt>
              </c:numCache>
            </c:numRef>
          </c:cat>
          <c:val>
            <c:numRef>
              <c:f>Sheet1!$O$123:$O$126</c:f>
              <c:numCache>
                <c:formatCode>General</c:formatCode>
                <c:ptCount val="4"/>
                <c:pt idx="0">
                  <c:v>5.50175676683443</c:v>
                </c:pt>
                <c:pt idx="1">
                  <c:v>0</c:v>
                </c:pt>
                <c:pt idx="2">
                  <c:v>5.0864785272832798</c:v>
                </c:pt>
                <c:pt idx="3">
                  <c:v>10.588235294117499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E6F-6748-8AD1-9E806DB6D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062656"/>
        <c:axId val="1058793024"/>
      </c:lineChart>
      <c:catAx>
        <c:axId val="105806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793024"/>
        <c:crosses val="autoZero"/>
        <c:auto val="1"/>
        <c:lblAlgn val="ctr"/>
        <c:lblOffset val="100"/>
        <c:noMultiLvlLbl val="0"/>
      </c:catAx>
      <c:valAx>
        <c:axId val="10587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12</xdr:row>
      <xdr:rowOff>19050</xdr:rowOff>
    </xdr:from>
    <xdr:to>
      <xdr:col>14</xdr:col>
      <xdr:colOff>25400</xdr:colOff>
      <xdr:row>35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8D1EEF-8393-CEE4-A0DE-2F8B75117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393700</xdr:colOff>
      <xdr:row>49</xdr:row>
      <xdr:rowOff>114300</xdr:rowOff>
    </xdr:from>
    <xdr:to>
      <xdr:col>14</xdr:col>
      <xdr:colOff>228600</xdr:colOff>
      <xdr:row>76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6C9840-5BCE-4DA3-BF5E-C921C1A24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584200</xdr:colOff>
      <xdr:row>88</xdr:row>
      <xdr:rowOff>171450</xdr:rowOff>
    </xdr:from>
    <xdr:to>
      <xdr:col>13</xdr:col>
      <xdr:colOff>762000</xdr:colOff>
      <xdr:row>114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B28A7F-DB49-3674-C4B0-B84EA9C7E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641350</xdr:colOff>
      <xdr:row>128</xdr:row>
      <xdr:rowOff>19050</xdr:rowOff>
    </xdr:from>
    <xdr:to>
      <xdr:col>13</xdr:col>
      <xdr:colOff>520700</xdr:colOff>
      <xdr:row>153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700C23C-F78F-0240-63CB-967F4A3D1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7C5B-8DC4-6A41-8A6B-2D5454B9B628}">
  <dimension ref="B3:O140"/>
  <sheetViews>
    <sheetView tabSelected="1" topLeftCell="A16" workbookViewId="0">
      <selection activeCell="O25" sqref="O25"/>
    </sheetView>
  </sheetViews>
  <sheetFormatPr baseColWidth="10" defaultRowHeight="16"/>
  <cols>
    <col min="1" max="1" width="7.83203125" customWidth="1"/>
    <col min="2" max="2" width="17.1640625" customWidth="1"/>
  </cols>
  <sheetData>
    <row r="3" spans="2:15" ht="16" customHeight="1">
      <c r="B3" s="58" t="s">
        <v>7</v>
      </c>
      <c r="C3" s="1" t="s">
        <v>8</v>
      </c>
      <c r="D3" s="2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>
      <c r="B4" s="58"/>
      <c r="C4" s="26"/>
      <c r="D4" s="27" t="s">
        <v>0</v>
      </c>
      <c r="E4" s="27"/>
      <c r="F4" s="27"/>
      <c r="G4" s="27"/>
      <c r="H4" s="27"/>
      <c r="I4" s="27"/>
      <c r="J4" s="28" t="s">
        <v>1</v>
      </c>
      <c r="K4" s="28"/>
      <c r="L4" s="28"/>
      <c r="M4" s="28"/>
      <c r="N4" s="28"/>
      <c r="O4" s="4"/>
    </row>
    <row r="5" spans="2:15">
      <c r="B5" s="58"/>
      <c r="C5" s="26"/>
      <c r="D5" s="29" t="s">
        <v>2</v>
      </c>
      <c r="E5" s="29"/>
      <c r="F5" s="29"/>
      <c r="G5" s="30" t="s">
        <v>3</v>
      </c>
      <c r="H5" s="30"/>
      <c r="I5" s="30"/>
      <c r="J5" s="29" t="s">
        <v>2</v>
      </c>
      <c r="K5" s="29"/>
      <c r="L5" s="29"/>
      <c r="M5" s="30" t="s">
        <v>3</v>
      </c>
      <c r="N5" s="30"/>
      <c r="O5" s="5"/>
    </row>
    <row r="6" spans="2:15">
      <c r="B6" s="58"/>
      <c r="C6" s="26"/>
      <c r="D6" s="31" t="s">
        <v>4</v>
      </c>
      <c r="E6" s="32" t="s">
        <v>5</v>
      </c>
      <c r="F6" s="33" t="s">
        <v>6</v>
      </c>
      <c r="G6" s="34" t="s">
        <v>4</v>
      </c>
      <c r="H6" s="35" t="s">
        <v>5</v>
      </c>
      <c r="I6" s="36" t="s">
        <v>6</v>
      </c>
      <c r="J6" s="37" t="s">
        <v>4</v>
      </c>
      <c r="K6" s="38" t="s">
        <v>5</v>
      </c>
      <c r="L6" s="39" t="s">
        <v>6</v>
      </c>
      <c r="M6" s="40" t="s">
        <v>4</v>
      </c>
      <c r="N6" s="41" t="s">
        <v>5</v>
      </c>
      <c r="O6" s="16" t="s">
        <v>6</v>
      </c>
    </row>
    <row r="7" spans="2:15">
      <c r="B7" s="58"/>
      <c r="C7" s="26"/>
      <c r="D7" s="6">
        <v>72.41</v>
      </c>
      <c r="E7" s="7">
        <v>1.1200000000000001</v>
      </c>
      <c r="F7" s="8">
        <v>2.11</v>
      </c>
      <c r="G7" s="9"/>
      <c r="H7" s="10"/>
      <c r="I7" s="11"/>
      <c r="J7" s="6">
        <v>47.71</v>
      </c>
      <c r="K7" s="12">
        <v>1.25</v>
      </c>
      <c r="L7" s="13">
        <v>5.9</v>
      </c>
      <c r="M7" s="14"/>
      <c r="N7" s="15"/>
      <c r="O7" s="16"/>
    </row>
    <row r="8" spans="2:15">
      <c r="B8" s="58"/>
      <c r="C8" s="42">
        <v>0</v>
      </c>
      <c r="D8" s="24">
        <v>1.44885515176778E-3</v>
      </c>
      <c r="E8" s="18">
        <v>0.22375080428647301</v>
      </c>
      <c r="F8" s="19">
        <v>7.8070939486223095E-2</v>
      </c>
      <c r="G8" s="25">
        <v>2.37018897866868E-3</v>
      </c>
      <c r="H8" s="21">
        <v>10.3404941946124</v>
      </c>
      <c r="I8" s="22">
        <v>10.44759412088</v>
      </c>
      <c r="J8" s="24">
        <v>2.1356775571026699E-3</v>
      </c>
      <c r="K8" s="18">
        <v>0.87855217538665098</v>
      </c>
      <c r="L8" s="19">
        <v>4.3141927220493703E-2</v>
      </c>
      <c r="M8" s="25">
        <v>5.4188553485715503E-3</v>
      </c>
      <c r="N8" s="21">
        <v>10.5078106269934</v>
      </c>
      <c r="O8" s="22">
        <v>10.4891174175008</v>
      </c>
    </row>
    <row r="9" spans="2:15">
      <c r="B9" s="58"/>
      <c r="C9" s="50">
        <f>128/4</f>
        <v>32</v>
      </c>
      <c r="D9" s="43">
        <v>1.1388490350476899E-3</v>
      </c>
      <c r="E9" s="44">
        <v>7.7995786830834497</v>
      </c>
      <c r="F9" s="45">
        <v>2.4264345007117698</v>
      </c>
      <c r="G9" s="46">
        <v>1.8092149471139499E-3</v>
      </c>
      <c r="H9" s="47">
        <v>7.5705944386300699</v>
      </c>
      <c r="I9" s="48">
        <v>5.5559626046150203</v>
      </c>
      <c r="J9" s="43">
        <v>9.6982174171812898E-3</v>
      </c>
      <c r="K9" s="44">
        <v>13.843399756547599</v>
      </c>
      <c r="L9" s="45">
        <v>0.64872937628609495</v>
      </c>
      <c r="M9" s="46">
        <v>3.11298841281524E-3</v>
      </c>
      <c r="N9" s="47">
        <v>19.0731910385202</v>
      </c>
      <c r="O9" s="49">
        <v>5.7603419265328597</v>
      </c>
    </row>
    <row r="10" spans="2:15">
      <c r="B10" s="58"/>
      <c r="C10" s="42">
        <v>63.46752</v>
      </c>
      <c r="D10" s="43">
        <v>1.4008800735708299E-3</v>
      </c>
      <c r="E10" s="44">
        <v>0.17171667705017499</v>
      </c>
      <c r="F10" s="45">
        <v>5.1854175299510197E-2</v>
      </c>
      <c r="G10" s="46">
        <v>2.3994632890405802E-3</v>
      </c>
      <c r="H10" s="47">
        <v>0.34143690664391402</v>
      </c>
      <c r="I10" s="48">
        <v>0.18639265678729799</v>
      </c>
      <c r="J10" s="43">
        <v>2.1410529642094701E-3</v>
      </c>
      <c r="K10" s="44">
        <v>0.69115345903674297</v>
      </c>
      <c r="L10" s="45">
        <v>4.1045338623689802E-2</v>
      </c>
      <c r="M10" s="46">
        <v>5.4384902206266001E-3</v>
      </c>
      <c r="N10" s="47">
        <v>0.30237016814676199</v>
      </c>
      <c r="O10" s="49">
        <v>0.12753018345964701</v>
      </c>
    </row>
    <row r="11" spans="2:15" ht="16" customHeight="1">
      <c r="B11" s="58"/>
      <c r="C11" s="23">
        <f>128*0.75</f>
        <v>96</v>
      </c>
      <c r="D11" s="51">
        <v>1.1388490350498701E-3</v>
      </c>
      <c r="E11" s="52">
        <v>7.7995786830841096</v>
      </c>
      <c r="F11" s="53">
        <v>2.4264345007119701</v>
      </c>
      <c r="G11" s="54">
        <v>1.8092149471130301E-3</v>
      </c>
      <c r="H11" s="55">
        <v>5.8215009227073198</v>
      </c>
      <c r="I11" s="56">
        <v>5.3575120040090303</v>
      </c>
      <c r="J11" s="51">
        <v>9.6982174171878696E-3</v>
      </c>
      <c r="K11" s="52">
        <v>13.8433997565465</v>
      </c>
      <c r="L11" s="53">
        <v>0.64872937628600502</v>
      </c>
      <c r="M11" s="54">
        <v>3.1129884128144698E-3</v>
      </c>
      <c r="N11" s="55">
        <v>9.6702242405897199</v>
      </c>
      <c r="O11" s="57">
        <v>4.83835550680742</v>
      </c>
    </row>
    <row r="40" spans="2:15">
      <c r="B40" s="58" t="s">
        <v>7</v>
      </c>
      <c r="C40" s="1" t="s">
        <v>8</v>
      </c>
      <c r="D40" s="2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</row>
    <row r="41" spans="2:15">
      <c r="B41" s="58"/>
      <c r="C41" s="26"/>
      <c r="D41" s="27" t="s">
        <v>0</v>
      </c>
      <c r="E41" s="27"/>
      <c r="F41" s="27"/>
      <c r="G41" s="27"/>
      <c r="H41" s="27"/>
      <c r="I41" s="27"/>
      <c r="J41" s="28" t="s">
        <v>1</v>
      </c>
      <c r="K41" s="28"/>
      <c r="L41" s="28"/>
      <c r="M41" s="28"/>
      <c r="N41" s="28"/>
      <c r="O41" s="4"/>
    </row>
    <row r="42" spans="2:15">
      <c r="B42" s="58"/>
      <c r="C42" s="26"/>
      <c r="D42" s="29" t="s">
        <v>2</v>
      </c>
      <c r="E42" s="29"/>
      <c r="F42" s="29"/>
      <c r="G42" s="30" t="s">
        <v>3</v>
      </c>
      <c r="H42" s="30"/>
      <c r="I42" s="30"/>
      <c r="J42" s="29" t="s">
        <v>2</v>
      </c>
      <c r="K42" s="29"/>
      <c r="L42" s="29"/>
      <c r="M42" s="30" t="s">
        <v>3</v>
      </c>
      <c r="N42" s="30"/>
      <c r="O42" s="5"/>
    </row>
    <row r="43" spans="2:15">
      <c r="B43" s="58"/>
      <c r="C43" s="26"/>
      <c r="D43" s="31" t="s">
        <v>4</v>
      </c>
      <c r="E43" s="32" t="s">
        <v>5</v>
      </c>
      <c r="F43" s="33" t="s">
        <v>6</v>
      </c>
      <c r="G43" s="34" t="s">
        <v>4</v>
      </c>
      <c r="H43" s="35" t="s">
        <v>5</v>
      </c>
      <c r="I43" s="36" t="s">
        <v>6</v>
      </c>
      <c r="J43" s="37" t="s">
        <v>4</v>
      </c>
      <c r="K43" s="38" t="s">
        <v>5</v>
      </c>
      <c r="L43" s="39" t="s">
        <v>6</v>
      </c>
      <c r="M43" s="40" t="s">
        <v>4</v>
      </c>
      <c r="N43" s="41" t="s">
        <v>5</v>
      </c>
      <c r="O43" s="16" t="s">
        <v>6</v>
      </c>
    </row>
    <row r="44" spans="2:15">
      <c r="B44" s="58"/>
      <c r="C44" s="26"/>
      <c r="D44" s="6">
        <v>23.6</v>
      </c>
      <c r="E44" s="7">
        <v>0.16700000000000001</v>
      </c>
      <c r="F44" s="8">
        <v>1.3</v>
      </c>
      <c r="G44" s="9"/>
      <c r="H44" s="10"/>
      <c r="I44" s="11"/>
      <c r="J44" s="6">
        <v>24.7</v>
      </c>
      <c r="K44" s="12">
        <v>5.84</v>
      </c>
      <c r="L44" s="13">
        <v>17.899999999999999</v>
      </c>
      <c r="M44" s="14"/>
      <c r="N44" s="15"/>
      <c r="O44" s="16"/>
    </row>
    <row r="45" spans="2:15">
      <c r="B45" s="58"/>
      <c r="C45" s="42">
        <v>0</v>
      </c>
      <c r="D45" s="17">
        <v>2.93662283017454E-6</v>
      </c>
      <c r="E45" s="18">
        <v>4.4137590820029304</v>
      </c>
      <c r="F45" s="19">
        <v>8.4675504624575695E-2</v>
      </c>
      <c r="G45" s="25">
        <v>1.8541323033008899E-3</v>
      </c>
      <c r="H45" s="61">
        <v>45.355199088398699</v>
      </c>
      <c r="I45" s="61">
        <v>44.615174853890998</v>
      </c>
      <c r="J45" s="24">
        <v>3.0492035439346301E-4</v>
      </c>
      <c r="K45" s="18">
        <v>1.0676650890952</v>
      </c>
      <c r="L45" s="19">
        <v>0.14618327284202001</v>
      </c>
      <c r="M45" s="25">
        <v>3.7210161523077699E-3</v>
      </c>
      <c r="N45" s="61">
        <v>43.985608516044401</v>
      </c>
      <c r="O45" s="61">
        <v>44.503220697609102</v>
      </c>
    </row>
    <row r="46" spans="2:15">
      <c r="B46" s="58"/>
      <c r="C46" s="50">
        <f>128/4</f>
        <v>32</v>
      </c>
      <c r="D46" s="17">
        <v>2.4079761876719798E-6</v>
      </c>
      <c r="E46" s="61">
        <v>43.457002373813403</v>
      </c>
      <c r="F46" s="19">
        <v>2.23109120592928</v>
      </c>
      <c r="G46" s="25">
        <v>1.85467846483377E-3</v>
      </c>
      <c r="H46" s="61">
        <v>50.584452310884402</v>
      </c>
      <c r="I46" s="61">
        <v>20.1586062443568</v>
      </c>
      <c r="J46" s="24">
        <v>2.9101210966995497E-4</v>
      </c>
      <c r="K46" s="61">
        <v>35.240304495168701</v>
      </c>
      <c r="L46" s="19">
        <v>10.965128920599399</v>
      </c>
      <c r="M46" s="25">
        <v>3.7290506812936502E-3</v>
      </c>
      <c r="N46" s="61">
        <v>38.653362881352599</v>
      </c>
      <c r="O46" s="61">
        <v>25.969377031096201</v>
      </c>
    </row>
    <row r="47" spans="2:15">
      <c r="B47" s="58"/>
      <c r="C47" s="42">
        <v>63.46752</v>
      </c>
      <c r="D47" s="17">
        <v>2.96104890834469E-6</v>
      </c>
      <c r="E47" s="18">
        <v>0.27176022159733798</v>
      </c>
      <c r="F47" s="19">
        <v>4.2780739562193202E-3</v>
      </c>
      <c r="G47" s="25">
        <v>1.8541412299733801E-3</v>
      </c>
      <c r="H47" s="21">
        <v>3.2044600007555699E-2</v>
      </c>
      <c r="I47" s="22">
        <v>2.3091910388783402E-2</v>
      </c>
      <c r="J47" s="24">
        <v>3.0527900397714299E-4</v>
      </c>
      <c r="K47" s="18">
        <v>7.2079676448087396E-2</v>
      </c>
      <c r="L47" s="19">
        <v>1.03760284992311E-2</v>
      </c>
      <c r="M47" s="25">
        <v>3.72122733483028E-3</v>
      </c>
      <c r="N47" s="21">
        <v>7.4304893485778803E-2</v>
      </c>
      <c r="O47" s="22">
        <v>2.8963469128291799E-2</v>
      </c>
    </row>
    <row r="48" spans="2:15">
      <c r="B48" s="58"/>
      <c r="C48" s="23">
        <f>128*0.75</f>
        <v>96</v>
      </c>
      <c r="D48" s="17">
        <v>2.4079761907031999E-6</v>
      </c>
      <c r="E48" s="61">
        <v>43.457002373812998</v>
      </c>
      <c r="F48" s="19">
        <v>2.23109120592843</v>
      </c>
      <c r="G48" s="25">
        <v>1.85467846481108E-3</v>
      </c>
      <c r="H48" s="61">
        <v>95.340692448022693</v>
      </c>
      <c r="I48" s="61">
        <v>24.848705492333298</v>
      </c>
      <c r="J48" s="24">
        <v>2.9101210964869502E-4</v>
      </c>
      <c r="K48" s="60">
        <v>35.2403044951688</v>
      </c>
      <c r="L48" s="19">
        <v>10.965128920599399</v>
      </c>
      <c r="M48" s="25">
        <v>3.729050681316E-3</v>
      </c>
      <c r="N48" s="21">
        <v>6.5130388260926697</v>
      </c>
      <c r="O48" s="61">
        <v>19.032728305550702</v>
      </c>
    </row>
    <row r="51" spans="3:14">
      <c r="C51" s="59"/>
    </row>
    <row r="53" spans="3:14">
      <c r="N53" t="s">
        <v>11</v>
      </c>
    </row>
    <row r="54" spans="3:14">
      <c r="D54" s="59"/>
    </row>
    <row r="58" spans="3:14">
      <c r="D58" s="59"/>
    </row>
    <row r="80" spans="2:15">
      <c r="B80" s="58" t="s">
        <v>13</v>
      </c>
      <c r="C80" s="1" t="s">
        <v>8</v>
      </c>
      <c r="D80" s="2" t="s">
        <v>12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</row>
    <row r="81" spans="2:15">
      <c r="B81" s="58"/>
      <c r="C81" s="26"/>
      <c r="D81" s="27" t="s">
        <v>0</v>
      </c>
      <c r="E81" s="27"/>
      <c r="F81" s="27"/>
      <c r="G81" s="27"/>
      <c r="H81" s="27"/>
      <c r="I81" s="27"/>
      <c r="J81" s="28" t="s">
        <v>1</v>
      </c>
      <c r="K81" s="28"/>
      <c r="L81" s="28"/>
      <c r="M81" s="28"/>
      <c r="N81" s="28"/>
      <c r="O81" s="4"/>
    </row>
    <row r="82" spans="2:15">
      <c r="B82" s="58"/>
      <c r="C82" s="26"/>
      <c r="D82" s="29" t="s">
        <v>2</v>
      </c>
      <c r="E82" s="29"/>
      <c r="F82" s="29"/>
      <c r="G82" s="30" t="s">
        <v>3</v>
      </c>
      <c r="H82" s="30"/>
      <c r="I82" s="30"/>
      <c r="J82" s="29" t="s">
        <v>2</v>
      </c>
      <c r="K82" s="29"/>
      <c r="L82" s="29"/>
      <c r="M82" s="30" t="s">
        <v>3</v>
      </c>
      <c r="N82" s="30"/>
      <c r="O82" s="5"/>
    </row>
    <row r="83" spans="2:15">
      <c r="B83" s="58"/>
      <c r="C83" s="26"/>
      <c r="D83" s="31" t="s">
        <v>4</v>
      </c>
      <c r="E83" s="32" t="s">
        <v>5</v>
      </c>
      <c r="F83" s="33" t="s">
        <v>6</v>
      </c>
      <c r="G83" s="34" t="s">
        <v>4</v>
      </c>
      <c r="H83" s="35" t="s">
        <v>5</v>
      </c>
      <c r="I83" s="36" t="s">
        <v>6</v>
      </c>
      <c r="J83" s="37" t="s">
        <v>4</v>
      </c>
      <c r="K83" s="38" t="s">
        <v>5</v>
      </c>
      <c r="L83" s="39" t="s">
        <v>6</v>
      </c>
      <c r="M83" s="40" t="s">
        <v>4</v>
      </c>
      <c r="N83" s="41" t="s">
        <v>5</v>
      </c>
      <c r="O83" s="16" t="s">
        <v>6</v>
      </c>
    </row>
    <row r="84" spans="2:15">
      <c r="B84" s="58"/>
      <c r="C84" s="26"/>
      <c r="D84" s="6">
        <f>100/SQRT(2)</f>
        <v>70.710678118654741</v>
      </c>
      <c r="E84" s="7">
        <f>50/SQRT(2)</f>
        <v>35.35533905932737</v>
      </c>
      <c r="F84" s="8">
        <f>10/SQRT(2)</f>
        <v>7.0710678118654746</v>
      </c>
      <c r="G84" s="9"/>
      <c r="H84" s="10"/>
      <c r="I84" s="11"/>
      <c r="J84" s="6">
        <f>50/SQRT(2)</f>
        <v>35.35533905932737</v>
      </c>
      <c r="K84" s="7">
        <f>10/SQRT(2)</f>
        <v>7.0710678118654746</v>
      </c>
      <c r="L84" s="13">
        <f>5/SQRT(2)</f>
        <v>3.5355339059327373</v>
      </c>
      <c r="M84" s="14"/>
      <c r="N84" s="15"/>
      <c r="O84" s="16"/>
    </row>
    <row r="85" spans="2:15">
      <c r="B85" s="58"/>
      <c r="C85" s="42">
        <v>0</v>
      </c>
      <c r="D85" s="17">
        <v>0</v>
      </c>
      <c r="E85" s="18">
        <v>0</v>
      </c>
      <c r="F85" s="19">
        <v>0</v>
      </c>
      <c r="G85" s="25">
        <v>0</v>
      </c>
      <c r="H85" s="21">
        <v>0</v>
      </c>
      <c r="I85" s="22">
        <v>0</v>
      </c>
      <c r="J85" s="24">
        <v>0</v>
      </c>
      <c r="K85" s="18">
        <v>0</v>
      </c>
      <c r="L85" s="19">
        <v>0</v>
      </c>
      <c r="M85" s="25">
        <v>0</v>
      </c>
      <c r="N85" s="21">
        <v>0</v>
      </c>
      <c r="O85" s="22">
        <v>0</v>
      </c>
    </row>
    <row r="86" spans="2:15">
      <c r="B86" s="58"/>
      <c r="C86" s="50">
        <f>128/4</f>
        <v>32</v>
      </c>
      <c r="D86" s="17">
        <v>6.0291550413456805E-14</v>
      </c>
      <c r="E86" s="18">
        <v>0.95937493032495502</v>
      </c>
      <c r="F86" s="19">
        <v>43.762350279568999</v>
      </c>
      <c r="G86" s="20">
        <v>1.7334912947691101E-13</v>
      </c>
      <c r="H86" s="21">
        <v>5.2741482812382703</v>
      </c>
      <c r="I86" s="22">
        <v>4.5255489874950703</v>
      </c>
      <c r="J86" s="17">
        <v>5.2252677024996E-14</v>
      </c>
      <c r="K86" s="18">
        <v>2.61173734662444</v>
      </c>
      <c r="L86" s="19">
        <v>14.0038956314889</v>
      </c>
      <c r="M86" s="20">
        <v>1.4850173190112699E-13</v>
      </c>
      <c r="N86" s="21">
        <v>5.2523055817629301</v>
      </c>
      <c r="O86" s="22">
        <v>5.08647852728331</v>
      </c>
    </row>
    <row r="87" spans="2:15">
      <c r="B87" s="58"/>
      <c r="C87" s="42">
        <v>64</v>
      </c>
      <c r="D87" s="17">
        <v>2.81360568596132E-14</v>
      </c>
      <c r="E87" s="60">
        <v>6.43109871076886E-14</v>
      </c>
      <c r="F87" s="62">
        <v>5.5518469339051202E-13</v>
      </c>
      <c r="G87" s="20">
        <v>2.3779308166185599E-14</v>
      </c>
      <c r="H87" s="21">
        <v>10.588235294117601</v>
      </c>
      <c r="I87" s="22">
        <v>10.5882352941174</v>
      </c>
      <c r="J87" s="17">
        <v>3.0145775206728403E-14</v>
      </c>
      <c r="K87" s="60">
        <v>1.29375618595543E-13</v>
      </c>
      <c r="L87" s="62">
        <v>3.7179789421631099E-13</v>
      </c>
      <c r="M87" s="20">
        <v>1.79754673591127E-14</v>
      </c>
      <c r="N87" s="21">
        <v>10.588235294117499</v>
      </c>
      <c r="O87" s="22">
        <v>10.588235294117499</v>
      </c>
    </row>
    <row r="88" spans="2:15">
      <c r="B88" s="58"/>
      <c r="C88" s="23">
        <f>128*0.75</f>
        <v>96</v>
      </c>
      <c r="D88" s="17">
        <v>5.62721137192264E-14</v>
      </c>
      <c r="E88" s="18">
        <v>0.95937493032478804</v>
      </c>
      <c r="F88" s="19">
        <v>43.7623502795701</v>
      </c>
      <c r="G88" s="20">
        <v>1.7123932515678501E-13</v>
      </c>
      <c r="H88" s="21">
        <v>15.862383575355899</v>
      </c>
      <c r="I88" s="22">
        <v>15.113784281612499</v>
      </c>
      <c r="J88" s="17">
        <v>6.4310987107687401E-14</v>
      </c>
      <c r="K88" s="18">
        <v>2.6117373466243201</v>
      </c>
      <c r="L88" s="19">
        <v>14.003895631489</v>
      </c>
      <c r="M88" s="20">
        <v>1.5515233899300399E-13</v>
      </c>
      <c r="N88" s="21">
        <v>15.8405408758805</v>
      </c>
      <c r="O88" s="22">
        <v>15.6747138214008</v>
      </c>
    </row>
    <row r="92" spans="2:15">
      <c r="C92" s="59"/>
      <c r="D92" s="59"/>
      <c r="E92" s="59"/>
    </row>
    <row r="93" spans="2:15">
      <c r="D93" s="59"/>
    </row>
    <row r="94" spans="2:15">
      <c r="D94" s="59"/>
    </row>
    <row r="95" spans="2:15">
      <c r="C95" s="59"/>
      <c r="D95" s="59"/>
      <c r="E95" s="59"/>
    </row>
    <row r="96" spans="2:15">
      <c r="D96" s="59"/>
    </row>
    <row r="97" spans="3:5">
      <c r="D97" s="59"/>
    </row>
    <row r="99" spans="3:5">
      <c r="C99" s="59"/>
      <c r="D99" s="59"/>
      <c r="E99" s="59"/>
    </row>
    <row r="102" spans="3:5">
      <c r="C102" s="59"/>
      <c r="D102" s="59"/>
      <c r="E102" s="59"/>
    </row>
    <row r="118" spans="2:15">
      <c r="B118" s="58" t="s">
        <v>14</v>
      </c>
      <c r="C118" s="1" t="s">
        <v>8</v>
      </c>
      <c r="D118" s="2" t="s">
        <v>12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spans="2:15">
      <c r="B119" s="58"/>
      <c r="C119" s="26"/>
      <c r="D119" s="27" t="s">
        <v>0</v>
      </c>
      <c r="E119" s="27"/>
      <c r="F119" s="27"/>
      <c r="G119" s="27"/>
      <c r="H119" s="27"/>
      <c r="I119" s="27"/>
      <c r="J119" s="28" t="s">
        <v>1</v>
      </c>
      <c r="K119" s="28"/>
      <c r="L119" s="28"/>
      <c r="M119" s="28"/>
      <c r="N119" s="28"/>
      <c r="O119" s="4"/>
    </row>
    <row r="120" spans="2:15">
      <c r="B120" s="58"/>
      <c r="C120" s="26"/>
      <c r="D120" s="29" t="s">
        <v>2</v>
      </c>
      <c r="E120" s="29"/>
      <c r="F120" s="29"/>
      <c r="G120" s="30" t="s">
        <v>3</v>
      </c>
      <c r="H120" s="30"/>
      <c r="I120" s="30"/>
      <c r="J120" s="29" t="s">
        <v>2</v>
      </c>
      <c r="K120" s="29"/>
      <c r="L120" s="29"/>
      <c r="M120" s="30" t="s">
        <v>3</v>
      </c>
      <c r="N120" s="30"/>
      <c r="O120" s="5"/>
    </row>
    <row r="121" spans="2:15">
      <c r="B121" s="58"/>
      <c r="C121" s="26"/>
      <c r="D121" s="31" t="s">
        <v>4</v>
      </c>
      <c r="E121" s="32" t="s">
        <v>5</v>
      </c>
      <c r="F121" s="33" t="s">
        <v>6</v>
      </c>
      <c r="G121" s="34" t="s">
        <v>4</v>
      </c>
      <c r="H121" s="35" t="s">
        <v>5</v>
      </c>
      <c r="I121" s="36" t="s">
        <v>6</v>
      </c>
      <c r="J121" s="37" t="s">
        <v>4</v>
      </c>
      <c r="K121" s="38" t="s">
        <v>5</v>
      </c>
      <c r="L121" s="39" t="s">
        <v>6</v>
      </c>
      <c r="M121" s="40" t="s">
        <v>4</v>
      </c>
      <c r="N121" s="41" t="s">
        <v>5</v>
      </c>
      <c r="O121" s="16" t="s">
        <v>6</v>
      </c>
    </row>
    <row r="122" spans="2:15">
      <c r="B122" s="58"/>
      <c r="C122" s="26"/>
      <c r="D122" s="6">
        <f>100/SQRT(2)</f>
        <v>70.710678118654741</v>
      </c>
      <c r="E122" s="7">
        <f>50/SQRT(2)</f>
        <v>35.35533905932737</v>
      </c>
      <c r="F122" s="8">
        <f>10/SQRT(2)</f>
        <v>7.0710678118654746</v>
      </c>
      <c r="G122" s="9"/>
      <c r="H122" s="10"/>
      <c r="I122" s="11"/>
      <c r="J122" s="6">
        <f>50/SQRT(2)</f>
        <v>35.35533905932737</v>
      </c>
      <c r="K122" s="7">
        <f>10/SQRT(2)</f>
        <v>7.0710678118654746</v>
      </c>
      <c r="L122" s="13">
        <f>5/SQRT(2)</f>
        <v>3.5355339059327373</v>
      </c>
      <c r="M122" s="14"/>
      <c r="N122" s="15"/>
      <c r="O122" s="16"/>
    </row>
    <row r="123" spans="2:15">
      <c r="B123" s="58"/>
      <c r="C123" s="42">
        <v>0</v>
      </c>
      <c r="D123" s="17">
        <v>7.2349860496148199E-14</v>
      </c>
      <c r="E123" s="18">
        <v>0.95937493032490595</v>
      </c>
      <c r="F123" s="19">
        <v>43.762350279569098</v>
      </c>
      <c r="G123" s="20">
        <v>1.6052605640701199E-13</v>
      </c>
      <c r="H123" s="21">
        <v>5.3140870128794697</v>
      </c>
      <c r="I123" s="22">
        <v>6.0626863066223198</v>
      </c>
      <c r="J123" s="17">
        <v>5.62721137192264E-14</v>
      </c>
      <c r="K123" s="18">
        <v>2.61173734662446</v>
      </c>
      <c r="L123" s="19">
        <v>14.003895631488801</v>
      </c>
      <c r="M123" s="20">
        <v>1.45756546373355E-13</v>
      </c>
      <c r="N123" s="21">
        <v>5.3359297123548002</v>
      </c>
      <c r="O123" s="22">
        <v>5.50175676683443</v>
      </c>
    </row>
    <row r="124" spans="2:15">
      <c r="B124" s="58"/>
      <c r="C124" s="50">
        <f>128/4</f>
        <v>32</v>
      </c>
      <c r="D124" s="17">
        <v>0</v>
      </c>
      <c r="E124" s="18">
        <v>0</v>
      </c>
      <c r="F124" s="19">
        <v>0</v>
      </c>
      <c r="G124" s="20">
        <v>0</v>
      </c>
      <c r="H124" s="21">
        <v>0</v>
      </c>
      <c r="I124" s="22">
        <v>0</v>
      </c>
      <c r="J124" s="17">
        <v>0</v>
      </c>
      <c r="K124" s="18">
        <v>0</v>
      </c>
      <c r="L124" s="19">
        <v>0</v>
      </c>
      <c r="M124" s="20">
        <v>0</v>
      </c>
      <c r="N124" s="21">
        <v>0</v>
      </c>
      <c r="O124" s="22">
        <v>0</v>
      </c>
    </row>
    <row r="125" spans="2:15">
      <c r="B125" s="58"/>
      <c r="C125" s="42">
        <v>64</v>
      </c>
      <c r="D125" s="17">
        <v>6.0291550413456805E-14</v>
      </c>
      <c r="E125" s="18">
        <v>0.95937493032492804</v>
      </c>
      <c r="F125" s="19">
        <v>43.762350279568601</v>
      </c>
      <c r="G125" s="20">
        <v>1.6645515716329899E-13</v>
      </c>
      <c r="H125" s="21">
        <v>5.2741482812381397</v>
      </c>
      <c r="I125" s="22">
        <v>4.52554898749539</v>
      </c>
      <c r="J125" s="17">
        <v>5.62721137192264E-14</v>
      </c>
      <c r="K125" s="18">
        <v>2.61173734662444</v>
      </c>
      <c r="L125" s="19">
        <v>14.0038956314886</v>
      </c>
      <c r="M125" s="20">
        <v>1.5410753021258099E-13</v>
      </c>
      <c r="N125" s="21">
        <v>5.2523055817628297</v>
      </c>
      <c r="O125" s="22">
        <v>5.0864785272832798</v>
      </c>
    </row>
    <row r="126" spans="2:15">
      <c r="B126" s="58"/>
      <c r="C126" s="23">
        <f>128*0.75</f>
        <v>96</v>
      </c>
      <c r="D126" s="17">
        <v>2.81360568596132E-14</v>
      </c>
      <c r="E126" s="60">
        <v>1.24602537521145E-13</v>
      </c>
      <c r="F126" s="62">
        <v>4.30833370662789E-13</v>
      </c>
      <c r="G126" s="20">
        <v>1.79754673591127E-14</v>
      </c>
      <c r="H126" s="21">
        <v>10.588235294117499</v>
      </c>
      <c r="I126" s="22">
        <v>10.5882352941174</v>
      </c>
      <c r="J126" s="17">
        <v>4.01943669423046E-14</v>
      </c>
      <c r="K126" s="60">
        <v>1.45704580165855E-13</v>
      </c>
      <c r="L126" s="62">
        <v>2.2358116611656499E-13</v>
      </c>
      <c r="M126" s="20">
        <v>8.9877336795563501E-15</v>
      </c>
      <c r="N126" s="21">
        <v>10.588235294117499</v>
      </c>
      <c r="O126" s="22">
        <v>10.588235294117499</v>
      </c>
    </row>
    <row r="130" spans="4:6">
      <c r="D130" s="59"/>
      <c r="E130" s="59"/>
      <c r="F130" s="59"/>
    </row>
    <row r="131" spans="4:6">
      <c r="F131" s="59"/>
    </row>
    <row r="132" spans="4:6">
      <c r="F132" s="59"/>
    </row>
    <row r="133" spans="4:6">
      <c r="D133" s="59"/>
      <c r="E133" s="59"/>
      <c r="F133" s="59"/>
    </row>
    <row r="134" spans="4:6">
      <c r="F134" s="59"/>
    </row>
    <row r="135" spans="4:6">
      <c r="F135" s="59"/>
    </row>
    <row r="137" spans="4:6">
      <c r="D137" s="59"/>
      <c r="E137" s="59"/>
      <c r="F137" s="59"/>
    </row>
    <row r="140" spans="4:6">
      <c r="D140" s="59"/>
      <c r="E140" s="59"/>
      <c r="F140" s="59"/>
    </row>
  </sheetData>
  <mergeCells count="32">
    <mergeCell ref="B118:B126"/>
    <mergeCell ref="D118:O118"/>
    <mergeCell ref="D119:I119"/>
    <mergeCell ref="J119:O119"/>
    <mergeCell ref="D120:F120"/>
    <mergeCell ref="G120:I120"/>
    <mergeCell ref="J120:L120"/>
    <mergeCell ref="M120:O120"/>
    <mergeCell ref="B80:B88"/>
    <mergeCell ref="D80:O80"/>
    <mergeCell ref="D81:I81"/>
    <mergeCell ref="J81:O81"/>
    <mergeCell ref="D82:F82"/>
    <mergeCell ref="G82:I82"/>
    <mergeCell ref="J82:L82"/>
    <mergeCell ref="M82:O82"/>
    <mergeCell ref="B3:B11"/>
    <mergeCell ref="B40:B48"/>
    <mergeCell ref="D40:O40"/>
    <mergeCell ref="D41:I41"/>
    <mergeCell ref="J41:O41"/>
    <mergeCell ref="D42:F42"/>
    <mergeCell ref="G42:I42"/>
    <mergeCell ref="J42:L42"/>
    <mergeCell ref="M42:O42"/>
    <mergeCell ref="D3:O3"/>
    <mergeCell ref="D4:I4"/>
    <mergeCell ref="J4:O4"/>
    <mergeCell ref="D5:F5"/>
    <mergeCell ref="G5:I5"/>
    <mergeCell ref="J5:L5"/>
    <mergeCell ref="M5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hrxu@student.ubc.ca</dc:creator>
  <cp:lastModifiedBy>hrxu@student.ubc.ca</cp:lastModifiedBy>
  <dcterms:created xsi:type="dcterms:W3CDTF">2026-08-03T09:55:30Z</dcterms:created>
  <dcterms:modified xsi:type="dcterms:W3CDTF">2026-08-05T18:09:48Z</dcterms:modified>
</cp:coreProperties>
</file>