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rxu/Documents/ih-project/"/>
    </mc:Choice>
  </mc:AlternateContent>
  <xr:revisionPtr revIDLastSave="0" documentId="8_{F5673C5E-4A94-0349-8D4A-C0401199504A}" xr6:coauthVersionLast="47" xr6:coauthVersionMax="47" xr10:uidLastSave="{00000000-0000-0000-0000-000000000000}"/>
  <bookViews>
    <workbookView xWindow="1900" yWindow="1820" windowWidth="27240" windowHeight="16340" xr2:uid="{7AFCCB6E-CA3D-1D4F-900E-5AAA952831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<sst xmlns="http://schemas.openxmlformats.org/spreadsheetml/2006/main" count="40" uniqueCount="10">
  <si>
    <t>F1</t>
  </si>
  <si>
    <t>IH1</t>
  </si>
  <si>
    <t>IH2</t>
  </si>
  <si>
    <t>Voltage</t>
  </si>
  <si>
    <t>Current</t>
  </si>
  <si>
    <t>Magnitude (mape)</t>
  </si>
  <si>
    <t>Angle (rmse)</t>
  </si>
  <si>
    <t>Percent Error - Case 2 SF51</t>
  </si>
  <si>
    <t>Num samples</t>
  </si>
  <si>
    <t>Percent Error - Case 1 WF23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</si>
</sst>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9" formatCode="0.000000"/>
    <numFmt numFmtId="180" formatCode="0.00000"/>
    <numFmt numFmtId="181" formatCode="0.0000"/>
    <numFmt numFmtId="182" formatCode="0.00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1" fontId="0" fillId="0" borderId="0" xfId="0" applyNumberFormat="1"/>
    <xf numFmtId="11" fontId="0" fillId="4" borderId="0" xfId="0" applyNumberFormat="1" applyFill="1" applyAlignment="1">
      <alignment horizontal="left"/>
    </xf>
    <xf numFmtId="0" fontId="0" fillId="4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11" fontId="0" fillId="4" borderId="0" xfId="0" applyNumberFormat="1" applyFill="1" applyBorder="1" applyAlignment="1">
      <alignment horizontal="left"/>
    </xf>
    <xf numFmtId="11" fontId="0" fillId="4" borderId="1" xfId="0" applyNumberForma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3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5" borderId="0" xfId="0" applyFont="1" applyFill="1" applyBorder="1"/>
    <xf numFmtId="0" fontId="2" fillId="8" borderId="0" xfId="0" applyFont="1" applyFill="1" applyBorder="1"/>
    <xf numFmtId="0" fontId="2" fillId="9" borderId="6" xfId="0" applyFont="1" applyFill="1" applyBorder="1"/>
    <xf numFmtId="11" fontId="0" fillId="5" borderId="0" xfId="0" applyNumberFormat="1" applyFill="1" applyBorder="1" applyAlignment="1">
      <alignment horizontal="left"/>
    </xf>
    <xf numFmtId="11" fontId="0" fillId="4" borderId="0" xfId="0" applyNumberFormat="1" applyFont="1" applyFill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182" fontId="0" fillId="7" borderId="1" xfId="0" applyNumberFormat="1" applyFill="1" applyBorder="1" applyAlignment="1">
      <alignment horizontal="left"/>
    </xf>
    <xf numFmtId="181" fontId="0" fillId="7" borderId="0" xfId="0" applyNumberFormat="1" applyFill="1" applyAlignment="1">
      <alignment horizontal="left"/>
    </xf>
    <xf numFmtId="182" fontId="0" fillId="10" borderId="0" xfId="0" applyNumberFormat="1" applyFill="1" applyBorder="1" applyAlignment="1">
      <alignment horizontal="left"/>
    </xf>
    <xf numFmtId="182" fontId="0" fillId="7" borderId="0" xfId="0" applyNumberFormat="1" applyFill="1" applyBorder="1" applyAlignment="1">
      <alignment horizontal="left"/>
    </xf>
    <xf numFmtId="182" fontId="0" fillId="10" borderId="0" xfId="0" applyNumberFormat="1" applyFill="1" applyAlignment="1">
      <alignment horizontal="left"/>
    </xf>
    <xf numFmtId="182" fontId="0" fillId="7" borderId="0" xfId="0" applyNumberFormat="1" applyFill="1" applyAlignment="1">
      <alignment horizontal="left"/>
    </xf>
    <xf numFmtId="182" fontId="0" fillId="6" borderId="0" xfId="0" applyNumberFormat="1" applyFill="1" applyBorder="1" applyAlignment="1">
      <alignment horizontal="left"/>
    </xf>
    <xf numFmtId="182" fontId="0" fillId="6" borderId="1" xfId="0" applyNumberFormat="1" applyFill="1" applyBorder="1" applyAlignment="1">
      <alignment horizontal="left"/>
    </xf>
    <xf numFmtId="180" fontId="0" fillId="5" borderId="0" xfId="0" applyNumberFormat="1" applyFill="1" applyAlignment="1">
      <alignment horizontal="left"/>
    </xf>
    <xf numFmtId="180" fontId="0" fillId="5" borderId="0" xfId="0" applyNumberFormat="1" applyFill="1" applyBorder="1" applyAlignment="1">
      <alignment horizontal="left"/>
    </xf>
    <xf numFmtId="180" fontId="0" fillId="5" borderId="1" xfId="0" applyNumberFormat="1" applyFill="1" applyBorder="1" applyAlignment="1">
      <alignment horizontal="left"/>
    </xf>
    <xf numFmtId="182" fontId="0" fillId="8" borderId="0" xfId="0" applyNumberFormat="1" applyFill="1" applyAlignment="1">
      <alignment horizontal="left"/>
    </xf>
    <xf numFmtId="182" fontId="0" fillId="8" borderId="0" xfId="0" applyNumberFormat="1" applyFill="1" applyBorder="1" applyAlignment="1">
      <alignment horizontal="left"/>
    </xf>
    <xf numFmtId="182" fontId="0" fillId="9" borderId="0" xfId="0" applyNumberFormat="1" applyFill="1" applyBorder="1" applyAlignment="1">
      <alignment horizontal="left"/>
    </xf>
    <xf numFmtId="182" fontId="0" fillId="9" borderId="6" xfId="0" applyNumberFormat="1" applyFill="1" applyBorder="1" applyAlignment="1">
      <alignment horizontal="left"/>
    </xf>
    <xf numFmtId="182" fontId="0" fillId="9" borderId="0" xfId="0" applyNumberFormat="1" applyFill="1" applyAlignment="1">
      <alignment horizontal="left"/>
    </xf>
    <xf numFmtId="182" fontId="0" fillId="6" borderId="0" xfId="0" applyNumberFormat="1" applyFill="1" applyAlignment="1">
      <alignment horizontal="left"/>
    </xf>
    <xf numFmtId="182" fontId="0" fillId="8" borderId="1" xfId="0" applyNumberFormat="1" applyFill="1" applyBorder="1" applyAlignment="1">
      <alignment horizontal="left"/>
    </xf>
    <xf numFmtId="182" fontId="0" fillId="9" borderId="8" xfId="0" applyNumberFormat="1" applyFill="1" applyBorder="1" applyAlignment="1">
      <alignment horizontal="left"/>
    </xf>
    <xf numFmtId="179" fontId="0" fillId="4" borderId="0" xfId="0" applyNumberFormat="1" applyFill="1" applyBorder="1" applyAlignment="1">
      <alignment horizontal="left"/>
    </xf>
    <xf numFmtId="179" fontId="0" fillId="4" borderId="0" xfId="0" applyNumberFormat="1" applyFill="1" applyAlignment="1">
      <alignment horizontal="left"/>
    </xf>
    <xf numFmtId="17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4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>
                <a:effectLst/>
              </a:rPr>
              <a:t>Percent Error By Num Samples - Case 2 SF51</a:t>
            </a:r>
            <a:r>
              <a:rPr lang="en-CA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Sheet1!$D$6:$D$9</c:f>
              <c:strCache>
                <c:ptCount val="4"/>
                <c:pt idx="0">
                  <c:v>Voltage</c:v>
                </c:pt>
                <c:pt idx="1">
                  <c:v>Magnitude (mape)</c:v>
                </c:pt>
                <c:pt idx="2">
                  <c:v>IH1</c:v>
                </c:pt>
                <c:pt idx="3">
                  <c:v>0.167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Sheet1!$B$10:$B$13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Sheet1!$D$10:$D$13</c:f>
              <c:numCache>
                <c:formatCode>0.000</c:formatCode>
                <c:ptCount val="4"/>
                <c:pt idx="0">
                  <c:v>57.921121794061399</c:v>
                </c:pt>
                <c:pt idx="1">
                  <c:v>44.201060392163001</c:v>
                </c:pt>
                <c:pt idx="2">
                  <c:v>14.6033960329473</c:v>
                </c:pt>
                <c:pt idx="3">
                  <c:v>4.3821111293192496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AB-BA44-91F0-5E0DEB6DBF64}"/>
            </c:ext>
          </c:extLst>
        </c:ser>
        <c:ser>
          <c:idx val="2"/>
          <c:order val="1"/>
          <c:tx>
            <c:strRef>
              <c:f>Sheet1!$E$6:$E$9</c:f>
              <c:strCache>
                <c:ptCount val="4"/>
                <c:pt idx="0">
                  <c:v>Voltage</c:v>
                </c:pt>
                <c:pt idx="1">
                  <c:v>Magnitude (mape)</c:v>
                </c:pt>
                <c:pt idx="2">
                  <c:v>IH2</c:v>
                </c:pt>
                <c:pt idx="3">
                  <c:v>1.3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Sheet1!$B$10:$B$13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Sheet1!$E$10:$E$13</c:f>
              <c:numCache>
                <c:formatCode>0.000</c:formatCode>
                <c:ptCount val="4"/>
                <c:pt idx="0">
                  <c:v>1.52670571921191</c:v>
                </c:pt>
                <c:pt idx="1">
                  <c:v>0.42830047319152698</c:v>
                </c:pt>
                <c:pt idx="2">
                  <c:v>0.22030130062529099</c:v>
                </c:pt>
                <c:pt idx="3">
                  <c:v>8.0088619307672998E-2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AB-BA44-91F0-5E0DEB6DBF64}"/>
            </c:ext>
          </c:extLst>
        </c:ser>
        <c:ser>
          <c:idx val="4"/>
          <c:order val="2"/>
          <c:tx>
            <c:strRef>
              <c:f>Sheet1!$G$6:$G$9</c:f>
              <c:strCache>
                <c:ptCount val="4"/>
                <c:pt idx="0">
                  <c:v>Voltage</c:v>
                </c:pt>
                <c:pt idx="1">
                  <c:v>Angle (rmse)</c:v>
                </c:pt>
                <c:pt idx="2">
                  <c:v>IH1</c:v>
                </c:pt>
                <c:pt idx="3">
                  <c:v>1.3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Sheet1!$B$10:$B$13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Sheet1!$G$10:$G$13</c:f>
              <c:numCache>
                <c:formatCode>0.000</c:formatCode>
                <c:ptCount val="4"/>
                <c:pt idx="0">
                  <c:v>120.842737226963</c:v>
                </c:pt>
                <c:pt idx="1">
                  <c:v>10.866417114782299</c:v>
                </c:pt>
                <c:pt idx="2">
                  <c:v>5.4878152537544702</c:v>
                </c:pt>
                <c:pt idx="3">
                  <c:v>1.9970969187077401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AB-BA44-91F0-5E0DEB6DBF64}"/>
            </c:ext>
          </c:extLst>
        </c:ser>
        <c:ser>
          <c:idx val="5"/>
          <c:order val="3"/>
          <c:tx>
            <c:strRef>
              <c:f>Sheet1!$H$6:$H$9</c:f>
              <c:strCache>
                <c:ptCount val="4"/>
                <c:pt idx="0">
                  <c:v>Voltage</c:v>
                </c:pt>
                <c:pt idx="1">
                  <c:v>Angle (rmse)</c:v>
                </c:pt>
                <c:pt idx="2">
                  <c:v>IH2</c:v>
                </c:pt>
                <c:pt idx="3">
                  <c:v>1.3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Sheet1!$B$10:$B$13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Sheet1!$H$10:$H$13</c:f>
              <c:numCache>
                <c:formatCode>0.000</c:formatCode>
                <c:ptCount val="4"/>
                <c:pt idx="0">
                  <c:v>13.812851088767699</c:v>
                </c:pt>
                <c:pt idx="1">
                  <c:v>3.3810839954141101</c:v>
                </c:pt>
                <c:pt idx="2">
                  <c:v>1.4708879777147299</c:v>
                </c:pt>
                <c:pt idx="3">
                  <c:v>0.495289219257456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AB-BA44-91F0-5E0DEB6DBF64}"/>
            </c:ext>
          </c:extLst>
        </c:ser>
        <c:ser>
          <c:idx val="7"/>
          <c:order val="4"/>
          <c:tx>
            <c:strRef>
              <c:f>Sheet1!$J$6:$J$9</c:f>
              <c:strCache>
                <c:ptCount val="4"/>
                <c:pt idx="0">
                  <c:v>Current</c:v>
                </c:pt>
                <c:pt idx="1">
                  <c:v>Magnitude (mape)</c:v>
                </c:pt>
                <c:pt idx="2">
                  <c:v>IH1</c:v>
                </c:pt>
                <c:pt idx="3">
                  <c:v>5.84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Sheet1!$B$10:$B$13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Sheet1!$J$10:$J$13</c:f>
              <c:numCache>
                <c:formatCode>0.000</c:formatCode>
                <c:ptCount val="4"/>
                <c:pt idx="0">
                  <c:v>36.541247207741399</c:v>
                </c:pt>
                <c:pt idx="1">
                  <c:v>7.6305974959515597</c:v>
                </c:pt>
                <c:pt idx="2">
                  <c:v>3.16050084153744</c:v>
                </c:pt>
                <c:pt idx="3">
                  <c:v>1.0278433285048501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AB-BA44-91F0-5E0DEB6DBF64}"/>
            </c:ext>
          </c:extLst>
        </c:ser>
        <c:ser>
          <c:idx val="8"/>
          <c:order val="5"/>
          <c:tx>
            <c:strRef>
              <c:f>Sheet1!$K$6:$K$9</c:f>
              <c:strCache>
                <c:ptCount val="4"/>
                <c:pt idx="0">
                  <c:v>Current</c:v>
                </c:pt>
                <c:pt idx="1">
                  <c:v>Magnitude (mape)</c:v>
                </c:pt>
                <c:pt idx="2">
                  <c:v>IH2</c:v>
                </c:pt>
                <c:pt idx="3">
                  <c:v>17.9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Sheet1!$B$10:$B$13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Sheet1!$K$10:$K$13</c:f>
              <c:numCache>
                <c:formatCode>0.000</c:formatCode>
                <c:ptCount val="4"/>
                <c:pt idx="0">
                  <c:v>12.757411741903301</c:v>
                </c:pt>
                <c:pt idx="1">
                  <c:v>1.3173329200924799</c:v>
                </c:pt>
                <c:pt idx="2">
                  <c:v>0.48366772847237099</c:v>
                </c:pt>
                <c:pt idx="3">
                  <c:v>0.14737573370680199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AB-BA44-91F0-5E0DEB6DBF64}"/>
            </c:ext>
          </c:extLst>
        </c:ser>
        <c:ser>
          <c:idx val="10"/>
          <c:order val="6"/>
          <c:tx>
            <c:strRef>
              <c:f>Sheet1!$M$6:$M$9</c:f>
              <c:strCache>
                <c:ptCount val="4"/>
                <c:pt idx="0">
                  <c:v>Current</c:v>
                </c:pt>
                <c:pt idx="1">
                  <c:v>Angle (rmse)</c:v>
                </c:pt>
                <c:pt idx="2">
                  <c:v>IH1</c:v>
                </c:pt>
                <c:pt idx="3">
                  <c:v>17.9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Sheet1!$B$10:$B$13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Sheet1!$M$10:$M$13</c:f>
              <c:numCache>
                <c:formatCode>0.000</c:formatCode>
                <c:ptCount val="4"/>
                <c:pt idx="0">
                  <c:v>19.579843690352099</c:v>
                </c:pt>
                <c:pt idx="1">
                  <c:v>6.6650689932503804</c:v>
                </c:pt>
                <c:pt idx="2">
                  <c:v>3.0271391299177299</c:v>
                </c:pt>
                <c:pt idx="3">
                  <c:v>1.03468289929269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AB-BA44-91F0-5E0DEB6DBF64}"/>
            </c:ext>
          </c:extLst>
        </c:ser>
        <c:ser>
          <c:idx val="11"/>
          <c:order val="7"/>
          <c:tx>
            <c:strRef>
              <c:f>Sheet1!$N$6:$N$9</c:f>
              <c:strCache>
                <c:ptCount val="4"/>
                <c:pt idx="0">
                  <c:v>Current</c:v>
                </c:pt>
                <c:pt idx="1">
                  <c:v>Angle (rmse)</c:v>
                </c:pt>
                <c:pt idx="2">
                  <c:v>IH2</c:v>
                </c:pt>
                <c:pt idx="3">
                  <c:v>17.9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Sheet1!$B$10:$B$13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Sheet1!$N$10:$N$13</c:f>
              <c:numCache>
                <c:formatCode>0.000</c:formatCode>
                <c:ptCount val="4"/>
                <c:pt idx="0">
                  <c:v>13.682132572766699</c:v>
                </c:pt>
                <c:pt idx="1">
                  <c:v>3.4154923586543502</c:v>
                </c:pt>
                <c:pt idx="2">
                  <c:v>1.48151329196029</c:v>
                </c:pt>
                <c:pt idx="3">
                  <c:v>0.49852036053694299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5AB-BA44-91F0-5E0DEB6DB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5074351"/>
        <c:axId val="426332320"/>
      </c:lineChart>
      <c:catAx>
        <c:axId val="82507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332320"/>
        <c:crosses val="autoZero"/>
        <c:auto val="1"/>
        <c:lblAlgn val="ctr"/>
        <c:lblOffset val="100"/>
        <c:noMultiLvlLbl val="0"/>
      </c:catAx>
      <c:valAx>
        <c:axId val="42633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07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Percent Error By Num Samples - Case 1 WF23</a:t>
            </a:r>
            <a:r>
              <a:rPr lang="en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Sheet1!$D$42:$D$45</c:f>
              <c:strCache>
                <c:ptCount val="4"/>
                <c:pt idx="0">
                  <c:v>Voltage</c:v>
                </c:pt>
                <c:pt idx="1">
                  <c:v>Magnitude (mape)</c:v>
                </c:pt>
                <c:pt idx="2">
                  <c:v>IH1</c:v>
                </c:pt>
                <c:pt idx="3">
                  <c:v>1.12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Sheet1!$B$46:$B$49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Sheet1!$D$46:$D$49</c:f>
              <c:numCache>
                <c:formatCode>0.000</c:formatCode>
                <c:ptCount val="4"/>
                <c:pt idx="0">
                  <c:v>7.0364835106707</c:v>
                </c:pt>
                <c:pt idx="1">
                  <c:v>1.12792254807606</c:v>
                </c:pt>
                <c:pt idx="2">
                  <c:v>0.469670838395853</c:v>
                </c:pt>
                <c:pt idx="3">
                  <c:v>0.15484789480955799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B-0C4C-ADFD-1DA4D69BF344}"/>
            </c:ext>
          </c:extLst>
        </c:ser>
        <c:ser>
          <c:idx val="2"/>
          <c:order val="1"/>
          <c:tx>
            <c:strRef>
              <c:f>Sheet1!$E$42:$E$45</c:f>
              <c:strCache>
                <c:ptCount val="4"/>
                <c:pt idx="0">
                  <c:v>Voltage</c:v>
                </c:pt>
                <c:pt idx="1">
                  <c:v>Magnitude (mape)</c:v>
                </c:pt>
                <c:pt idx="2">
                  <c:v>IH2</c:v>
                </c:pt>
                <c:pt idx="3">
                  <c:v>2.11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Sheet1!$B$46:$B$49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Sheet1!$E$46:$E$49</c:f>
              <c:numCache>
                <c:formatCode>0.000</c:formatCode>
                <c:ptCount val="4"/>
                <c:pt idx="0">
                  <c:v>2.0636562930213298</c:v>
                </c:pt>
                <c:pt idx="1">
                  <c:v>0.32161978572287803</c:v>
                </c:pt>
                <c:pt idx="2">
                  <c:v>0.13453236482842601</c:v>
                </c:pt>
                <c:pt idx="3" formatCode="0.0000">
                  <c:v>4.4072657263146499E-2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2B-0C4C-ADFD-1DA4D69BF344}"/>
            </c:ext>
          </c:extLst>
        </c:ser>
        <c:ser>
          <c:idx val="4"/>
          <c:order val="2"/>
          <c:tx>
            <c:strRef>
              <c:f>Sheet1!$G$42:$G$45</c:f>
              <c:strCache>
                <c:ptCount val="4"/>
                <c:pt idx="0">
                  <c:v>Voltage</c:v>
                </c:pt>
                <c:pt idx="1">
                  <c:v>Angle (rmse)</c:v>
                </c:pt>
                <c:pt idx="2">
                  <c:v>IH1</c:v>
                </c:pt>
                <c:pt idx="3">
                  <c:v>2.11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Sheet1!$B$46:$B$49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Sheet1!$G$46:$G$49</c:f>
              <c:numCache>
                <c:formatCode>0.000</c:formatCode>
                <c:ptCount val="4"/>
                <c:pt idx="0">
                  <c:v>4.9970919119012596</c:v>
                </c:pt>
                <c:pt idx="1">
                  <c:v>1.15494255160369</c:v>
                </c:pt>
                <c:pt idx="2">
                  <c:v>0.49616287352372301</c:v>
                </c:pt>
                <c:pt idx="3">
                  <c:v>0.165137487355663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2B-0C4C-ADFD-1DA4D69BF344}"/>
            </c:ext>
          </c:extLst>
        </c:ser>
        <c:ser>
          <c:idx val="5"/>
          <c:order val="3"/>
          <c:tx>
            <c:strRef>
              <c:f>Sheet1!$H$42:$H$45</c:f>
              <c:strCache>
                <c:ptCount val="4"/>
                <c:pt idx="0">
                  <c:v>Voltage</c:v>
                </c:pt>
                <c:pt idx="1">
                  <c:v>Angle (rmse)</c:v>
                </c:pt>
                <c:pt idx="2">
                  <c:v>IH2</c:v>
                </c:pt>
                <c:pt idx="3">
                  <c:v>2.11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Sheet1!$B$46:$B$49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Sheet1!$H$46:$H$49</c:f>
              <c:numCache>
                <c:formatCode>0.000</c:formatCode>
                <c:ptCount val="4"/>
                <c:pt idx="0">
                  <c:v>2.7509864575175902</c:v>
                </c:pt>
                <c:pt idx="1">
                  <c:v>0.65575623983884002</c:v>
                </c:pt>
                <c:pt idx="2">
                  <c:v>0.28364160629237201</c:v>
                </c:pt>
                <c:pt idx="3">
                  <c:v>9.5532511463562994E-2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2B-0C4C-ADFD-1DA4D69BF344}"/>
            </c:ext>
          </c:extLst>
        </c:ser>
        <c:ser>
          <c:idx val="7"/>
          <c:order val="4"/>
          <c:tx>
            <c:strRef>
              <c:f>Sheet1!$J$42:$J$45</c:f>
              <c:strCache>
                <c:ptCount val="4"/>
                <c:pt idx="0">
                  <c:v>Current</c:v>
                </c:pt>
                <c:pt idx="1">
                  <c:v>Magnitude (mape)</c:v>
                </c:pt>
                <c:pt idx="2">
                  <c:v>IH1</c:v>
                </c:pt>
                <c:pt idx="3">
                  <c:v>1.25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Sheet1!$B$46:$B$49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Sheet1!$J$46:$J$49</c:f>
              <c:numCache>
                <c:formatCode>0.000</c:formatCode>
                <c:ptCount val="4"/>
                <c:pt idx="0">
                  <c:v>16.229706232913401</c:v>
                </c:pt>
                <c:pt idx="1">
                  <c:v>3.71071096932579</c:v>
                </c:pt>
                <c:pt idx="2">
                  <c:v>1.60517167103233</c:v>
                </c:pt>
                <c:pt idx="3">
                  <c:v>0.53921904291765899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2B-0C4C-ADFD-1DA4D69BF344}"/>
            </c:ext>
          </c:extLst>
        </c:ser>
        <c:ser>
          <c:idx val="8"/>
          <c:order val="5"/>
          <c:tx>
            <c:strRef>
              <c:f>Sheet1!$K$42:$K$45</c:f>
              <c:strCache>
                <c:ptCount val="4"/>
                <c:pt idx="0">
                  <c:v>Current</c:v>
                </c:pt>
                <c:pt idx="1">
                  <c:v>Magnitude (mape)</c:v>
                </c:pt>
                <c:pt idx="2">
                  <c:v>IH2</c:v>
                </c:pt>
                <c:pt idx="3">
                  <c:v>5.9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Sheet1!$B$46:$B$49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Sheet1!$K$46:$K$49</c:f>
              <c:numCache>
                <c:formatCode>0.000</c:formatCode>
                <c:ptCount val="4"/>
                <c:pt idx="0">
                  <c:v>0.97334893480879403</c:v>
                </c:pt>
                <c:pt idx="1">
                  <c:v>0.17698593410796001</c:v>
                </c:pt>
                <c:pt idx="2">
                  <c:v>7.2903640177317305E-2</c:v>
                </c:pt>
                <c:pt idx="3">
                  <c:v>2.3032369559975199E-2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2B-0C4C-ADFD-1DA4D69BF344}"/>
            </c:ext>
          </c:extLst>
        </c:ser>
        <c:ser>
          <c:idx val="10"/>
          <c:order val="6"/>
          <c:tx>
            <c:strRef>
              <c:f>Sheet1!$M$42:$M$45</c:f>
              <c:strCache>
                <c:ptCount val="4"/>
                <c:pt idx="0">
                  <c:v>Current</c:v>
                </c:pt>
                <c:pt idx="1">
                  <c:v>Angle (rmse)</c:v>
                </c:pt>
                <c:pt idx="2">
                  <c:v>IH1</c:v>
                </c:pt>
                <c:pt idx="3">
                  <c:v>5.9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Sheet1!$B$46:$B$49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Sheet1!$M$46:$M$49</c:f>
              <c:numCache>
                <c:formatCode>0.000</c:formatCode>
                <c:ptCount val="4"/>
                <c:pt idx="0">
                  <c:v>8.7264661341538297</c:v>
                </c:pt>
                <c:pt idx="1">
                  <c:v>1.9364388212772401</c:v>
                </c:pt>
                <c:pt idx="2">
                  <c:v>0.84287475700457803</c:v>
                </c:pt>
                <c:pt idx="3">
                  <c:v>0.28178571439078698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92B-0C4C-ADFD-1DA4D69BF344}"/>
            </c:ext>
          </c:extLst>
        </c:ser>
        <c:ser>
          <c:idx val="11"/>
          <c:order val="7"/>
          <c:tx>
            <c:strRef>
              <c:f>Sheet1!$N$42:$N$45</c:f>
              <c:strCache>
                <c:ptCount val="4"/>
                <c:pt idx="0">
                  <c:v>Current</c:v>
                </c:pt>
                <c:pt idx="1">
                  <c:v>Angle (rmse)</c:v>
                </c:pt>
                <c:pt idx="2">
                  <c:v>IH2</c:v>
                </c:pt>
                <c:pt idx="3">
                  <c:v>5.9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Sheet1!$B$46:$B$49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Sheet1!$N$46:$N$49</c:f>
              <c:numCache>
                <c:formatCode>0.000</c:formatCode>
                <c:ptCount val="4"/>
                <c:pt idx="0">
                  <c:v>2.3939136656450701</c:v>
                </c:pt>
                <c:pt idx="1">
                  <c:v>0.58900897083705095</c:v>
                </c:pt>
                <c:pt idx="2">
                  <c:v>0.25641967790366799</c:v>
                </c:pt>
                <c:pt idx="3">
                  <c:v>8.7399922830972601E-2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92B-0C4C-ADFD-1DA4D69BF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391839"/>
        <c:axId val="1068024911"/>
      </c:lineChart>
      <c:catAx>
        <c:axId val="17633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24911"/>
        <c:crosses val="autoZero"/>
        <c:auto val="1"/>
        <c:lblAlgn val="ctr"/>
        <c:lblOffset val="100"/>
        <c:noMultiLvlLbl val="0"/>
      </c:catAx>
      <c:valAx>
        <c:axId val="106802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39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11</xdr:col>
      <xdr:colOff>152400</xdr:colOff>
      <xdr:row>38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B4BE42-0A52-7167-6164-4C7FCA6BF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340731</xdr:colOff>
      <xdr:row>49</xdr:row>
      <xdr:rowOff>125554</xdr:rowOff>
    </xdr:from>
    <xdr:to>
      <xdr:col>10</xdr:col>
      <xdr:colOff>134227</xdr:colOff>
      <xdr:row>77</xdr:row>
      <xdr:rowOff>10326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7FD57A-5302-9477-667E-2213F1A8E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F894-E702-7E42-B800-22D87E224E74}">
  <dimension ref="A5:N62"/>
  <sheetViews>
    <sheetView tabSelected="1" zoomScale="123" workbookViewId="0">
      <selection activeCell="M60" sqref="M60"/>
    </sheetView>
  </sheetViews>
  <sheetFormatPr baseColWidth="10" defaultRowHeight="16" x14ac:dyDescent="0.2"/>
  <cols>
    <col min="1" max="1" width="13" customWidth="1"/>
    <col min="2" max="2" width="12.33203125" customWidth="1"/>
    <col min="4" max="4" width="11.6640625" bestFit="1" customWidth="1"/>
    <col min="5" max="5" width="11.83203125" bestFit="1" customWidth="1"/>
    <col min="8" max="8" width="12.33203125" bestFit="1" customWidth="1"/>
    <col min="9" max="9" width="11.33203125" bestFit="1" customWidth="1"/>
    <col min="10" max="11" width="12.33203125" bestFit="1" customWidth="1"/>
    <col min="12" max="12" width="11.33203125" bestFit="1" customWidth="1"/>
    <col min="13" max="14" width="12.33203125" bestFit="1" customWidth="1"/>
  </cols>
  <sheetData>
    <row r="5" spans="1:14" x14ac:dyDescent="0.2">
      <c r="B5" s="10" t="s">
        <v>8</v>
      </c>
      <c r="C5" s="11" t="s">
        <v>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 spans="1:14" x14ac:dyDescent="0.2">
      <c r="B6" s="13"/>
      <c r="C6" s="14" t="s">
        <v>3</v>
      </c>
      <c r="D6" s="14"/>
      <c r="E6" s="14"/>
      <c r="F6" s="14"/>
      <c r="G6" s="14"/>
      <c r="H6" s="14"/>
      <c r="I6" s="15" t="s">
        <v>4</v>
      </c>
      <c r="J6" s="15"/>
      <c r="K6" s="15"/>
      <c r="L6" s="15"/>
      <c r="M6" s="15"/>
      <c r="N6" s="16"/>
    </row>
    <row r="7" spans="1:14" x14ac:dyDescent="0.2">
      <c r="B7" s="13"/>
      <c r="C7" s="3" t="s">
        <v>5</v>
      </c>
      <c r="D7" s="3"/>
      <c r="E7" s="3"/>
      <c r="F7" s="17" t="s">
        <v>6</v>
      </c>
      <c r="G7" s="17"/>
      <c r="H7" s="17"/>
      <c r="I7" s="3" t="s">
        <v>5</v>
      </c>
      <c r="J7" s="3"/>
      <c r="K7" s="3"/>
      <c r="L7" s="17" t="s">
        <v>6</v>
      </c>
      <c r="M7" s="17"/>
      <c r="N7" s="18"/>
    </row>
    <row r="8" spans="1:14" x14ac:dyDescent="0.2">
      <c r="B8" s="13"/>
      <c r="C8" s="4" t="s">
        <v>0</v>
      </c>
      <c r="D8" s="8" t="s">
        <v>1</v>
      </c>
      <c r="E8" s="9" t="s">
        <v>2</v>
      </c>
      <c r="F8" s="19" t="s">
        <v>0</v>
      </c>
      <c r="G8" s="20" t="s">
        <v>1</v>
      </c>
      <c r="H8" s="21" t="s">
        <v>2</v>
      </c>
      <c r="I8" s="22" t="s">
        <v>0</v>
      </c>
      <c r="J8" s="23" t="s">
        <v>1</v>
      </c>
      <c r="K8" s="24" t="s">
        <v>2</v>
      </c>
      <c r="L8" s="25" t="s">
        <v>0</v>
      </c>
      <c r="M8" s="26" t="s">
        <v>1</v>
      </c>
      <c r="N8" s="27" t="s">
        <v>2</v>
      </c>
    </row>
    <row r="9" spans="1:14" x14ac:dyDescent="0.2">
      <c r="B9" s="13"/>
      <c r="C9" s="4">
        <v>23.6</v>
      </c>
      <c r="D9" s="8">
        <v>0.16700000000000001</v>
      </c>
      <c r="E9" s="9">
        <v>1.3</v>
      </c>
      <c r="F9" s="19"/>
      <c r="G9" s="20"/>
      <c r="H9" s="21"/>
      <c r="I9" s="4">
        <v>24.7</v>
      </c>
      <c r="J9" s="23">
        <v>5.84</v>
      </c>
      <c r="K9" s="24">
        <v>17.899999999999999</v>
      </c>
      <c r="L9" s="25"/>
      <c r="M9" s="26"/>
      <c r="N9" s="27"/>
    </row>
    <row r="10" spans="1:14" x14ac:dyDescent="0.2">
      <c r="B10" s="30">
        <v>4</v>
      </c>
      <c r="C10" s="5">
        <v>3.1403805879947898E-6</v>
      </c>
      <c r="D10" s="34">
        <v>57.921121794061399</v>
      </c>
      <c r="E10" s="35">
        <v>1.52670571921191</v>
      </c>
      <c r="F10" s="28">
        <v>2.4399618280841499E-3</v>
      </c>
      <c r="G10" s="34">
        <v>120.842737226963</v>
      </c>
      <c r="H10" s="45">
        <v>13.812851088767699</v>
      </c>
      <c r="I10" s="51">
        <v>2.8870125594628499E-4</v>
      </c>
      <c r="J10" s="34">
        <v>36.541247207741399</v>
      </c>
      <c r="K10" s="35">
        <v>12.757411741903301</v>
      </c>
      <c r="L10" s="41">
        <v>3.7267586709713598E-3</v>
      </c>
      <c r="M10" s="34">
        <v>19.579843690352099</v>
      </c>
      <c r="N10" s="46">
        <v>13.682132572766699</v>
      </c>
    </row>
    <row r="11" spans="1:14" x14ac:dyDescent="0.2">
      <c r="B11" s="30">
        <v>16</v>
      </c>
      <c r="C11" s="29">
        <v>3.1403806406208702E-6</v>
      </c>
      <c r="D11" s="36">
        <v>44.201060392163001</v>
      </c>
      <c r="E11" s="37">
        <v>0.42830047319152698</v>
      </c>
      <c r="F11" s="40">
        <v>2.4399618280766398E-3</v>
      </c>
      <c r="G11" s="43">
        <v>10.866417114782299</v>
      </c>
      <c r="H11" s="47">
        <v>3.3810839954141101</v>
      </c>
      <c r="I11" s="52">
        <v>2.8870125593634898E-4</v>
      </c>
      <c r="J11" s="48">
        <v>7.6305974959515597</v>
      </c>
      <c r="K11" s="37">
        <v>1.3173329200924799</v>
      </c>
      <c r="L11" s="40">
        <v>3.72675867101405E-3</v>
      </c>
      <c r="M11" s="43">
        <v>6.6650689932503804</v>
      </c>
      <c r="N11" s="47">
        <v>3.4154923586543502</v>
      </c>
    </row>
    <row r="12" spans="1:14" x14ac:dyDescent="0.2">
      <c r="B12" s="30">
        <v>32</v>
      </c>
      <c r="C12" s="5">
        <v>3.1403806706798202E-6</v>
      </c>
      <c r="D12" s="38">
        <v>14.6033960329473</v>
      </c>
      <c r="E12" s="35">
        <v>0.22030130062529099</v>
      </c>
      <c r="F12" s="41">
        <v>2.4399618280747698E-3</v>
      </c>
      <c r="G12" s="44">
        <v>5.4878152537544702</v>
      </c>
      <c r="H12" s="45">
        <v>1.4708879777147299</v>
      </c>
      <c r="I12" s="51">
        <v>2.8870125594506997E-4</v>
      </c>
      <c r="J12" s="38">
        <v>3.16050084153744</v>
      </c>
      <c r="K12" s="35">
        <v>0.48366772847237099</v>
      </c>
      <c r="L12" s="41">
        <v>3.7267586710224899E-3</v>
      </c>
      <c r="M12" s="44">
        <v>3.0271391299177299</v>
      </c>
      <c r="N12" s="46">
        <v>1.48151329196029</v>
      </c>
    </row>
    <row r="13" spans="1:14" x14ac:dyDescent="0.2">
      <c r="B13" s="31">
        <v>64</v>
      </c>
      <c r="C13" s="6">
        <v>3.1403806781989198E-6</v>
      </c>
      <c r="D13" s="39">
        <v>4.3821111293192496</v>
      </c>
      <c r="E13" s="32">
        <v>8.0088619307672998E-2</v>
      </c>
      <c r="F13" s="7">
        <v>2.4399618280673001E-3</v>
      </c>
      <c r="G13" s="43">
        <v>1.9970969187077401</v>
      </c>
      <c r="H13" s="47">
        <v>0.495289219257456</v>
      </c>
      <c r="I13" s="53">
        <v>2.8870125594815599E-4</v>
      </c>
      <c r="J13" s="48">
        <v>1.0278433285048501</v>
      </c>
      <c r="K13" s="37">
        <v>0.14737573370680199</v>
      </c>
      <c r="L13" s="42">
        <v>3.7267586710082201E-3</v>
      </c>
      <c r="M13" s="49">
        <v>1.03468289929269</v>
      </c>
      <c r="N13" s="50">
        <v>0.49852036053694299</v>
      </c>
    </row>
    <row r="14" spans="1:14" x14ac:dyDescent="0.2">
      <c r="A14" s="1"/>
    </row>
    <row r="15" spans="1:14" x14ac:dyDescent="0.2">
      <c r="M15" s="1"/>
    </row>
    <row r="16" spans="1:14" x14ac:dyDescent="0.2">
      <c r="B16" s="1"/>
    </row>
    <row r="18" spans="3:3" x14ac:dyDescent="0.2">
      <c r="C18" s="1"/>
    </row>
    <row r="41" spans="2:14" x14ac:dyDescent="0.2">
      <c r="B41" s="10" t="s">
        <v>8</v>
      </c>
      <c r="C41" s="11" t="s">
        <v>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2"/>
    </row>
    <row r="42" spans="2:14" x14ac:dyDescent="0.2">
      <c r="B42" s="13"/>
      <c r="C42" s="14" t="s">
        <v>3</v>
      </c>
      <c r="D42" s="14"/>
      <c r="E42" s="14"/>
      <c r="F42" s="14"/>
      <c r="G42" s="14"/>
      <c r="H42" s="14"/>
      <c r="I42" s="15" t="s">
        <v>4</v>
      </c>
      <c r="J42" s="15"/>
      <c r="K42" s="15"/>
      <c r="L42" s="15"/>
      <c r="M42" s="15"/>
      <c r="N42" s="16"/>
    </row>
    <row r="43" spans="2:14" x14ac:dyDescent="0.2">
      <c r="B43" s="13"/>
      <c r="C43" s="3" t="s">
        <v>5</v>
      </c>
      <c r="D43" s="3"/>
      <c r="E43" s="3"/>
      <c r="F43" s="17" t="s">
        <v>6</v>
      </c>
      <c r="G43" s="17"/>
      <c r="H43" s="17"/>
      <c r="I43" s="3" t="s">
        <v>5</v>
      </c>
      <c r="J43" s="3"/>
      <c r="K43" s="3"/>
      <c r="L43" s="17" t="s">
        <v>6</v>
      </c>
      <c r="M43" s="17"/>
      <c r="N43" s="18"/>
    </row>
    <row r="44" spans="2:14" x14ac:dyDescent="0.2">
      <c r="B44" s="13"/>
      <c r="C44" s="4" t="s">
        <v>0</v>
      </c>
      <c r="D44" s="8" t="s">
        <v>1</v>
      </c>
      <c r="E44" s="9" t="s">
        <v>2</v>
      </c>
      <c r="F44" s="19" t="s">
        <v>0</v>
      </c>
      <c r="G44" s="20" t="s">
        <v>1</v>
      </c>
      <c r="H44" s="21" t="s">
        <v>2</v>
      </c>
      <c r="I44" s="22" t="s">
        <v>0</v>
      </c>
      <c r="J44" s="23" t="s">
        <v>1</v>
      </c>
      <c r="K44" s="24" t="s">
        <v>2</v>
      </c>
      <c r="L44" s="25" t="s">
        <v>0</v>
      </c>
      <c r="M44" s="26" t="s">
        <v>1</v>
      </c>
      <c r="N44" s="27" t="s">
        <v>2</v>
      </c>
    </row>
    <row r="45" spans="2:14" x14ac:dyDescent="0.2">
      <c r="B45" s="13"/>
      <c r="C45" s="4">
        <v>72.41</v>
      </c>
      <c r="D45" s="8">
        <v>1.1200000000000001</v>
      </c>
      <c r="E45" s="9">
        <v>2.11</v>
      </c>
      <c r="F45" s="19"/>
      <c r="G45" s="20"/>
      <c r="H45" s="21"/>
      <c r="I45" s="4">
        <v>47.71</v>
      </c>
      <c r="J45" s="23">
        <v>1.25</v>
      </c>
      <c r="K45" s="24">
        <v>5.9</v>
      </c>
      <c r="L45" s="25"/>
      <c r="M45" s="26"/>
      <c r="N45" s="27"/>
    </row>
    <row r="46" spans="2:14" x14ac:dyDescent="0.2">
      <c r="B46" s="30">
        <v>4</v>
      </c>
      <c r="C46" s="2">
        <v>2.8436320146466699E-6</v>
      </c>
      <c r="D46" s="48">
        <v>7.0364835106707</v>
      </c>
      <c r="E46" s="37">
        <v>2.0636562930213298</v>
      </c>
      <c r="F46" s="40">
        <v>2.4399391767008002E-3</v>
      </c>
      <c r="G46" s="43">
        <v>4.9970919119012596</v>
      </c>
      <c r="H46" s="47">
        <v>2.7509864575175902</v>
      </c>
      <c r="I46" s="2">
        <v>2.36029906614891E-5</v>
      </c>
      <c r="J46" s="36">
        <v>16.229706232913401</v>
      </c>
      <c r="K46" s="37">
        <v>0.97334893480879403</v>
      </c>
      <c r="L46" s="40">
        <v>2.1121314189106299E-3</v>
      </c>
      <c r="M46" s="43">
        <v>8.7264661341538297</v>
      </c>
      <c r="N46" s="47">
        <v>2.3939136656450701</v>
      </c>
    </row>
    <row r="47" spans="2:14" x14ac:dyDescent="0.2">
      <c r="B47" s="30">
        <v>16</v>
      </c>
      <c r="C47" s="2">
        <v>2.84363205389333E-6</v>
      </c>
      <c r="D47" s="48">
        <v>1.12792254807606</v>
      </c>
      <c r="E47" s="37">
        <v>0.32161978572287803</v>
      </c>
      <c r="F47" s="40">
        <v>2.4399391766506098E-3</v>
      </c>
      <c r="G47" s="43">
        <v>1.15494255160369</v>
      </c>
      <c r="H47" s="47">
        <v>0.65575623983884002</v>
      </c>
      <c r="I47" s="2">
        <v>2.36029907210766E-5</v>
      </c>
      <c r="J47" s="48">
        <v>3.71071096932579</v>
      </c>
      <c r="K47" s="37">
        <v>0.17698593410796001</v>
      </c>
      <c r="L47" s="40">
        <v>2.1121314189074701E-3</v>
      </c>
      <c r="M47" s="43">
        <v>1.9364388212772401</v>
      </c>
      <c r="N47" s="47">
        <v>0.58900897083705095</v>
      </c>
    </row>
    <row r="48" spans="2:14" x14ac:dyDescent="0.2">
      <c r="B48" s="30">
        <v>32</v>
      </c>
      <c r="C48" s="2">
        <v>2.8436320724290599E-6</v>
      </c>
      <c r="D48" s="48">
        <v>0.469670838395853</v>
      </c>
      <c r="E48" s="37">
        <v>0.13453236482842601</v>
      </c>
      <c r="F48" s="40">
        <v>2.43993917661888E-3</v>
      </c>
      <c r="G48" s="43">
        <v>0.49616287352372301</v>
      </c>
      <c r="H48" s="47">
        <v>0.28364160629237201</v>
      </c>
      <c r="I48" s="2">
        <v>2.3602990751690499E-5</v>
      </c>
      <c r="J48" s="48">
        <v>1.60517167103233</v>
      </c>
      <c r="K48" s="37">
        <v>7.2903640177317305E-2</v>
      </c>
      <c r="L48" s="40">
        <v>2.1121314188983901E-3</v>
      </c>
      <c r="M48" s="43">
        <v>0.84287475700457803</v>
      </c>
      <c r="N48" s="47">
        <v>0.25641967790366799</v>
      </c>
    </row>
    <row r="49" spans="2:14" x14ac:dyDescent="0.2">
      <c r="B49" s="31">
        <v>64</v>
      </c>
      <c r="C49" s="2">
        <v>2.8436320408069399E-6</v>
      </c>
      <c r="D49" s="48">
        <v>0.15484789480955799</v>
      </c>
      <c r="E49" s="33">
        <v>4.4072657263146499E-2</v>
      </c>
      <c r="F49" s="40">
        <v>2.43993917667657E-3</v>
      </c>
      <c r="G49" s="43">
        <v>0.165137487355663</v>
      </c>
      <c r="H49" s="47">
        <v>9.5532511463562994E-2</v>
      </c>
      <c r="I49" s="2">
        <v>2.3602990662363299E-5</v>
      </c>
      <c r="J49" s="48">
        <v>0.53921904291765899</v>
      </c>
      <c r="K49" s="37">
        <v>2.3032369559975199E-2</v>
      </c>
      <c r="L49" s="40">
        <v>2.11213141888695E-3</v>
      </c>
      <c r="M49" s="43">
        <v>0.28178571439078698</v>
      </c>
      <c r="N49" s="47">
        <v>8.7399922830972601E-2</v>
      </c>
    </row>
    <row r="58" spans="2:14" x14ac:dyDescent="0.2">
      <c r="C58" s="1"/>
      <c r="D58" s="1"/>
    </row>
    <row r="59" spans="2:14" x14ac:dyDescent="0.2">
      <c r="E59" s="1"/>
      <c r="F59" s="1"/>
    </row>
    <row r="61" spans="2:14" x14ac:dyDescent="0.2">
      <c r="C61" s="1"/>
      <c r="D61" s="1"/>
    </row>
    <row r="62" spans="2:14" x14ac:dyDescent="0.2">
      <c r="E62" s="1"/>
      <c r="F62" s="1"/>
    </row>
  </sheetData>
  <mergeCells count="14">
    <mergeCell ref="C41:N41"/>
    <mergeCell ref="C42:H42"/>
    <mergeCell ref="I42:N42"/>
    <mergeCell ref="C43:E43"/>
    <mergeCell ref="F43:H43"/>
    <mergeCell ref="I43:K43"/>
    <mergeCell ref="L43:N43"/>
    <mergeCell ref="C5:N5"/>
    <mergeCell ref="C7:E7"/>
    <mergeCell ref="F7:H7"/>
    <mergeCell ref="I7:K7"/>
    <mergeCell ref="L7:N7"/>
    <mergeCell ref="C6:H6"/>
    <mergeCell ref="I6:N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hrxu@student.ubc.ca</dc:creator>
  <cp:lastModifiedBy>hrxu@student.ubc.ca</cp:lastModifiedBy>
  <dcterms:created xsi:type="dcterms:W3CDTF">2026-07-30T18:17:55Z</dcterms:created>
  <dcterms:modified xsi:type="dcterms:W3CDTF">2026-07-30T21:06:41Z</dcterms:modified>
</cp:coreProperties>
</file>