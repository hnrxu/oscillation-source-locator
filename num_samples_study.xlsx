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xu/Documents/ih-project/"/>
    </mc:Choice>
  </mc:AlternateContent>
  <xr:revisionPtr revIDLastSave="0" documentId="13_ncr:1_{94BF9E99-4399-D942-AB7A-0377F2AC9585}" xr6:coauthVersionLast="47" xr6:coauthVersionMax="47" xr10:uidLastSave="{00000000-0000-0000-0000-000000000000}"/>
  <bookViews>
    <workbookView xWindow="1840" yWindow="1880" windowWidth="27240" windowHeight="16340" xr2:uid="{7AFCCB6E-CA3D-1D4F-900E-5AAA952831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1" l="1"/>
  <c r="E83" i="1"/>
  <c r="D83" i="1"/>
  <c r="K117" i="1"/>
  <c r="J117" i="1"/>
  <c r="I117" i="1"/>
  <c r="E117" i="1"/>
  <c r="D117" i="1"/>
  <c r="C117" i="1"/>
  <c r="J83" i="1"/>
  <c r="I83" i="1"/>
  <c r="C83" i="1"/>
</calcChain>
</file>

<file path=xl/sharedStrings.xml><?xml version="1.0" encoding="utf-8"?>
<sst xmlns="http://schemas.openxmlformats.org/spreadsheetml/2006/main" count="84" uniqueCount="14">
  <si>
    <t>F1</t>
  </si>
  <si>
    <t>IH1</t>
  </si>
  <si>
    <t>IH2</t>
  </si>
  <si>
    <t>Voltage</t>
  </si>
  <si>
    <t>Current</t>
  </si>
  <si>
    <t>Num samples</t>
  </si>
  <si>
    <t>true = 128</t>
  </si>
  <si>
    <t>Magnitude (%)</t>
  </si>
  <si>
    <t>Error - Case 1 WF23</t>
  </si>
  <si>
    <t>Error - Case 2 SF51</t>
  </si>
  <si>
    <t>true = 4</t>
  </si>
  <si>
    <t>Error - Generated test case 1</t>
  </si>
  <si>
    <t>true = 32</t>
  </si>
  <si>
    <t>Angle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</si>
</sst>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00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6A9955"/>
      <name val="Menlo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1" fontId="0" fillId="0" borderId="0" xfId="0" applyNumberFormat="1"/>
    <xf numFmtId="11" fontId="0" fillId="4" borderId="1" xfId="0" applyNumberFormat="1" applyFill="1" applyBorder="1" applyAlignment="1">
      <alignment horizontal="left"/>
    </xf>
    <xf numFmtId="0" fontId="2" fillId="9" borderId="6" xfId="0" applyFont="1" applyFill="1" applyBorder="1"/>
    <xf numFmtId="166" fontId="0" fillId="7" borderId="1" xfId="0" applyNumberFormat="1" applyFill="1" applyBorder="1" applyAlignment="1">
      <alignment horizontal="left"/>
    </xf>
    <xf numFmtId="166" fontId="0" fillId="6" borderId="1" xfId="0" applyNumberForma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5" borderId="0" xfId="0" applyFont="1" applyFill="1"/>
    <xf numFmtId="0" fontId="2" fillId="8" borderId="0" xfId="0" applyFont="1" applyFill="1"/>
    <xf numFmtId="11" fontId="0" fillId="4" borderId="0" xfId="0" applyNumberFormat="1" applyFill="1" applyAlignment="1">
      <alignment horizontal="left"/>
    </xf>
    <xf numFmtId="166" fontId="0" fillId="10" borderId="0" xfId="0" applyNumberFormat="1" applyFill="1" applyAlignment="1">
      <alignment horizontal="left"/>
    </xf>
    <xf numFmtId="166" fontId="0" fillId="7" borderId="0" xfId="0" applyNumberFormat="1" applyFill="1" applyAlignment="1">
      <alignment horizontal="left"/>
    </xf>
    <xf numFmtId="164" fontId="0" fillId="4" borderId="0" xfId="0" applyNumberFormat="1" applyFill="1" applyAlignment="1">
      <alignment horizontal="left"/>
    </xf>
    <xf numFmtId="166" fontId="0" fillId="6" borderId="0" xfId="0" applyNumberFormat="1" applyFill="1" applyAlignment="1">
      <alignment horizontal="left"/>
    </xf>
    <xf numFmtId="164" fontId="0" fillId="4" borderId="1" xfId="0" applyNumberFormat="1" applyFill="1" applyBorder="1"/>
    <xf numFmtId="0" fontId="0" fillId="0" borderId="3" xfId="0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165" fontId="0" fillId="7" borderId="1" xfId="0" applyNumberFormat="1" applyFill="1" applyBorder="1" applyAlignment="1">
      <alignment horizontal="left"/>
    </xf>
    <xf numFmtId="0" fontId="3" fillId="0" borderId="0" xfId="0" applyFont="1"/>
    <xf numFmtId="11" fontId="0" fillId="4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1" fontId="0" fillId="4" borderId="1" xfId="0" applyNumberFormat="1" applyFill="1" applyBorder="1"/>
    <xf numFmtId="0" fontId="0" fillId="6" borderId="1" xfId="0" applyFill="1" applyBorder="1"/>
    <xf numFmtId="0" fontId="0" fillId="7" borderId="1" xfId="0" applyFill="1" applyBorder="1"/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10" borderId="0" xfId="0" applyFill="1"/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4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>
                <a:effectLst/>
              </a:rPr>
              <a:t>Percent Error By Num Samples - Case 2 SF51</a:t>
            </a:r>
            <a:r>
              <a:rPr lang="en-CA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Sheet1!$D$6:$D$9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0.167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Sheet1!$D$10:$D$13</c:f>
              <c:numCache>
                <c:formatCode>0.000</c:formatCode>
                <c:ptCount val="4"/>
                <c:pt idx="0">
                  <c:v>57.921121794061399</c:v>
                </c:pt>
                <c:pt idx="1">
                  <c:v>44.201060392163001</c:v>
                </c:pt>
                <c:pt idx="2">
                  <c:v>14.6033960329473</c:v>
                </c:pt>
                <c:pt idx="3">
                  <c:v>4.3821111293192496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AB-BA44-91F0-5E0DEB6DBF64}"/>
            </c:ext>
          </c:extLst>
        </c:ser>
        <c:ser>
          <c:idx val="2"/>
          <c:order val="1"/>
          <c:tx>
            <c:strRef>
              <c:f>Sheet1!$E$6:$E$9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Sheet1!$E$10:$E$13</c:f>
              <c:numCache>
                <c:formatCode>0.000</c:formatCode>
                <c:ptCount val="4"/>
                <c:pt idx="0">
                  <c:v>1.52670571921191</c:v>
                </c:pt>
                <c:pt idx="1">
                  <c:v>0.42830047319152698</c:v>
                </c:pt>
                <c:pt idx="2">
                  <c:v>0.22030130062529099</c:v>
                </c:pt>
                <c:pt idx="3">
                  <c:v>8.0088619307672998E-2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AB-BA44-91F0-5E0DEB6DBF64}"/>
            </c:ext>
          </c:extLst>
        </c:ser>
        <c:ser>
          <c:idx val="4"/>
          <c:order val="2"/>
          <c:tx>
            <c:strRef>
              <c:f>Sheet1!$G$6:$G$9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IH1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Sheet1!$G$10:$G$13</c:f>
              <c:numCache>
                <c:formatCode>General</c:formatCode>
                <c:ptCount val="4"/>
                <c:pt idx="0">
                  <c:v>33.567427007489719</c:v>
                </c:pt>
                <c:pt idx="1">
                  <c:v>3.0184491985506385</c:v>
                </c:pt>
                <c:pt idx="2">
                  <c:v>1.5243931260429084</c:v>
                </c:pt>
                <c:pt idx="3">
                  <c:v>0.55474914408548337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AB-BA44-91F0-5E0DEB6DBF64}"/>
            </c:ext>
          </c:extLst>
        </c:ser>
        <c:ser>
          <c:idx val="5"/>
          <c:order val="3"/>
          <c:tx>
            <c:strRef>
              <c:f>Sheet1!$H$6:$H$9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IH2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Sheet1!$H$10:$H$13</c:f>
              <c:numCache>
                <c:formatCode>General</c:formatCode>
                <c:ptCount val="4"/>
                <c:pt idx="0">
                  <c:v>3.8369030802132498</c:v>
                </c:pt>
                <c:pt idx="1">
                  <c:v>0.93918999872614173</c:v>
                </c:pt>
                <c:pt idx="2">
                  <c:v>0.40857999380964721</c:v>
                </c:pt>
                <c:pt idx="3">
                  <c:v>0.13758033868262667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AB-BA44-91F0-5E0DEB6DBF64}"/>
            </c:ext>
          </c:extLst>
        </c:ser>
        <c:ser>
          <c:idx val="7"/>
          <c:order val="4"/>
          <c:tx>
            <c:strRef>
              <c:f>Sheet1!$J$6:$J$9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5.84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Sheet1!$J$10:$J$13</c:f>
              <c:numCache>
                <c:formatCode>0.000</c:formatCode>
                <c:ptCount val="4"/>
                <c:pt idx="0">
                  <c:v>36.541247207741399</c:v>
                </c:pt>
                <c:pt idx="1">
                  <c:v>7.6305974959515597</c:v>
                </c:pt>
                <c:pt idx="2">
                  <c:v>3.16050084153744</c:v>
                </c:pt>
                <c:pt idx="3">
                  <c:v>1.0278433285048501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5AB-BA44-91F0-5E0DEB6DBF64}"/>
            </c:ext>
          </c:extLst>
        </c:ser>
        <c:ser>
          <c:idx val="8"/>
          <c:order val="5"/>
          <c:tx>
            <c:strRef>
              <c:f>Sheet1!$K$6:$K$9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Sheet1!$K$10:$K$13</c:f>
              <c:numCache>
                <c:formatCode>0.000</c:formatCode>
                <c:ptCount val="4"/>
                <c:pt idx="0">
                  <c:v>12.757411741903301</c:v>
                </c:pt>
                <c:pt idx="1">
                  <c:v>1.3173329200924799</c:v>
                </c:pt>
                <c:pt idx="2">
                  <c:v>0.48366772847237099</c:v>
                </c:pt>
                <c:pt idx="3">
                  <c:v>0.14737573370680199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5AB-BA44-91F0-5E0DEB6DBF64}"/>
            </c:ext>
          </c:extLst>
        </c:ser>
        <c:ser>
          <c:idx val="10"/>
          <c:order val="6"/>
          <c:tx>
            <c:strRef>
              <c:f>Sheet1!$M$6:$M$9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IH1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Sheet1!$M$10:$M$13</c:f>
              <c:numCache>
                <c:formatCode>General</c:formatCode>
                <c:ptCount val="4"/>
                <c:pt idx="0">
                  <c:v>5.4388454695422501</c:v>
                </c:pt>
                <c:pt idx="1">
                  <c:v>1.8514080536806612</c:v>
                </c:pt>
                <c:pt idx="2">
                  <c:v>0.84087198053270273</c:v>
                </c:pt>
                <c:pt idx="3">
                  <c:v>0.28741191647019165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5AB-BA44-91F0-5E0DEB6DBF64}"/>
            </c:ext>
          </c:extLst>
        </c:ser>
        <c:ser>
          <c:idx val="11"/>
          <c:order val="7"/>
          <c:tx>
            <c:strRef>
              <c:f>Sheet1!$N$6:$N$9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IH2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Sheet1!$B$10:$B$13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Sheet1!$N$10:$N$13</c:f>
              <c:numCache>
                <c:formatCode>General</c:formatCode>
                <c:ptCount val="4"/>
                <c:pt idx="0">
                  <c:v>3.8005923813240834</c:v>
                </c:pt>
                <c:pt idx="1">
                  <c:v>0.94874787740398625</c:v>
                </c:pt>
                <c:pt idx="2">
                  <c:v>0.4115314699889695</c:v>
                </c:pt>
                <c:pt idx="3">
                  <c:v>0.13847787792692862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5AB-BA44-91F0-5E0DEB6D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074351"/>
        <c:axId val="426332320"/>
      </c:lineChart>
      <c:catAx>
        <c:axId val="825074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332320"/>
        <c:crosses val="autoZero"/>
        <c:auto val="1"/>
        <c:lblAlgn val="ctr"/>
        <c:lblOffset val="100"/>
        <c:noMultiLvlLbl val="0"/>
      </c:catAx>
      <c:valAx>
        <c:axId val="42633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07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Percent Error By Num Samples - Case 1 WF23</a:t>
            </a:r>
            <a:r>
              <a:rPr lang="en-C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Sheet1!$D$42:$D$45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1.12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Sheet1!$D$46:$D$49</c:f>
              <c:numCache>
                <c:formatCode>0.000</c:formatCode>
                <c:ptCount val="4"/>
                <c:pt idx="0">
                  <c:v>7.0364835106707</c:v>
                </c:pt>
                <c:pt idx="1">
                  <c:v>1.12792254807606</c:v>
                </c:pt>
                <c:pt idx="2">
                  <c:v>0.469670838395853</c:v>
                </c:pt>
                <c:pt idx="3">
                  <c:v>0.15484789480955799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2B-0C4C-ADFD-1DA4D69BF344}"/>
            </c:ext>
          </c:extLst>
        </c:ser>
        <c:ser>
          <c:idx val="2"/>
          <c:order val="1"/>
          <c:tx>
            <c:strRef>
              <c:f>Sheet1!$E$42:$E$45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Sheet1!$E$46:$E$49</c:f>
              <c:numCache>
                <c:formatCode>0.000</c:formatCode>
                <c:ptCount val="4"/>
                <c:pt idx="0">
                  <c:v>2.0636562930213298</c:v>
                </c:pt>
                <c:pt idx="1">
                  <c:v>0.32161978572287803</c:v>
                </c:pt>
                <c:pt idx="2">
                  <c:v>0.13453236482842601</c:v>
                </c:pt>
                <c:pt idx="3" formatCode="0.0000">
                  <c:v>4.4072657263146499E-2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2B-0C4C-ADFD-1DA4D69BF344}"/>
            </c:ext>
          </c:extLst>
        </c:ser>
        <c:ser>
          <c:idx val="4"/>
          <c:order val="2"/>
          <c:tx>
            <c:strRef>
              <c:f>Sheet1!$G$42:$G$45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IH1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Sheet1!$G$46:$G$49</c:f>
              <c:numCache>
                <c:formatCode>General</c:formatCode>
                <c:ptCount val="4"/>
                <c:pt idx="0">
                  <c:v>1.3880810866392388</c:v>
                </c:pt>
                <c:pt idx="1">
                  <c:v>0.32081737544546945</c:v>
                </c:pt>
                <c:pt idx="2">
                  <c:v>0.13782302042325639</c:v>
                </c:pt>
                <c:pt idx="3">
                  <c:v>4.5871524265461941E-2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2B-0C4C-ADFD-1DA4D69BF344}"/>
            </c:ext>
          </c:extLst>
        </c:ser>
        <c:ser>
          <c:idx val="5"/>
          <c:order val="3"/>
          <c:tx>
            <c:strRef>
              <c:f>Sheet1!$H$42:$H$45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IH2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Sheet1!$H$46:$H$49</c:f>
              <c:numCache>
                <c:formatCode>General</c:formatCode>
                <c:ptCount val="4"/>
                <c:pt idx="0">
                  <c:v>0.76416290486599725</c:v>
                </c:pt>
                <c:pt idx="1">
                  <c:v>0.18215451106634445</c:v>
                </c:pt>
                <c:pt idx="2">
                  <c:v>7.878933508121444E-2</c:v>
                </c:pt>
                <c:pt idx="3">
                  <c:v>2.6536808739878612E-2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92B-0C4C-ADFD-1DA4D69BF344}"/>
            </c:ext>
          </c:extLst>
        </c:ser>
        <c:ser>
          <c:idx val="7"/>
          <c:order val="4"/>
          <c:tx>
            <c:strRef>
              <c:f>Sheet1!$J$42:$J$45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1.25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Sheet1!$J$46:$J$49</c:f>
              <c:numCache>
                <c:formatCode>0.000</c:formatCode>
                <c:ptCount val="4"/>
                <c:pt idx="0">
                  <c:v>16.229706232913401</c:v>
                </c:pt>
                <c:pt idx="1">
                  <c:v>3.71071096932579</c:v>
                </c:pt>
                <c:pt idx="2">
                  <c:v>1.60517167103233</c:v>
                </c:pt>
                <c:pt idx="3">
                  <c:v>0.53921904291765899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2B-0C4C-ADFD-1DA4D69BF344}"/>
            </c:ext>
          </c:extLst>
        </c:ser>
        <c:ser>
          <c:idx val="8"/>
          <c:order val="5"/>
          <c:tx>
            <c:strRef>
              <c:f>Sheet1!$K$42:$K$45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Sheet1!$K$46:$K$49</c:f>
              <c:numCache>
                <c:formatCode>0.000</c:formatCode>
                <c:ptCount val="4"/>
                <c:pt idx="0">
                  <c:v>0.97334893480879403</c:v>
                </c:pt>
                <c:pt idx="1">
                  <c:v>0.17698593410796001</c:v>
                </c:pt>
                <c:pt idx="2">
                  <c:v>7.2903640177317305E-2</c:v>
                </c:pt>
                <c:pt idx="3">
                  <c:v>2.3032369559975199E-2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92B-0C4C-ADFD-1DA4D69BF344}"/>
            </c:ext>
          </c:extLst>
        </c:ser>
        <c:ser>
          <c:idx val="10"/>
          <c:order val="6"/>
          <c:tx>
            <c:strRef>
              <c:f>Sheet1!$M$42:$M$45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IH1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Sheet1!$M$46:$M$49</c:f>
              <c:numCache>
                <c:formatCode>General</c:formatCode>
                <c:ptCount val="4"/>
                <c:pt idx="0">
                  <c:v>2.4240183705982861</c:v>
                </c:pt>
                <c:pt idx="1">
                  <c:v>0.5378996725770111</c:v>
                </c:pt>
                <c:pt idx="2">
                  <c:v>0.23413187694571613</c:v>
                </c:pt>
                <c:pt idx="3">
                  <c:v>7.8273809552996385E-2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92B-0C4C-ADFD-1DA4D69BF344}"/>
            </c:ext>
          </c:extLst>
        </c:ser>
        <c:ser>
          <c:idx val="11"/>
          <c:order val="7"/>
          <c:tx>
            <c:strRef>
              <c:f>Sheet1!$N$42:$N$45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IH2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Sheet1!$B$46:$B$49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</c:numCache>
            </c:numRef>
          </c:cat>
          <c:val>
            <c:numRef>
              <c:f>Sheet1!$N$46:$N$49</c:f>
              <c:numCache>
                <c:formatCode>General</c:formatCode>
                <c:ptCount val="4"/>
                <c:pt idx="0">
                  <c:v>0.66497601823474173</c:v>
                </c:pt>
                <c:pt idx="1">
                  <c:v>0.16361360301029193</c:v>
                </c:pt>
                <c:pt idx="2">
                  <c:v>7.1227688306574444E-2</c:v>
                </c:pt>
                <c:pt idx="3">
                  <c:v>2.4277756341936834E-2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92B-0C4C-ADFD-1DA4D69BF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3391839"/>
        <c:axId val="1068024911"/>
      </c:lineChart>
      <c:catAx>
        <c:axId val="176339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024911"/>
        <c:crosses val="autoZero"/>
        <c:auto val="1"/>
        <c:lblAlgn val="ctr"/>
        <c:lblOffset val="100"/>
        <c:noMultiLvlLbl val="0"/>
      </c:catAx>
      <c:valAx>
        <c:axId val="106802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39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 by  decreasing num samples - test input true=4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Sheet1!$D$80:$D$83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Sheet1!$D$84:$D$88</c:f>
              <c:numCache>
                <c:formatCode>General</c:formatCode>
                <c:ptCount val="5"/>
                <c:pt idx="0">
                  <c:v>0</c:v>
                </c:pt>
                <c:pt idx="1">
                  <c:v>0.53637402867444695</c:v>
                </c:pt>
                <c:pt idx="2">
                  <c:v>0.57664424944514303</c:v>
                </c:pt>
                <c:pt idx="3">
                  <c:v>0.59248477441024305</c:v>
                </c:pt>
                <c:pt idx="4">
                  <c:v>0.599348134990493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0-3147-B8C9-EADF07EE9135}"/>
            </c:ext>
          </c:extLst>
        </c:ser>
        <c:ser>
          <c:idx val="2"/>
          <c:order val="1"/>
          <c:tx>
            <c:strRef>
              <c:f>Sheet1!$E$80:$E$83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Sheet1!$E$84:$E$88</c:f>
              <c:numCache>
                <c:formatCode>General</c:formatCode>
                <c:ptCount val="5"/>
                <c:pt idx="0">
                  <c:v>0</c:v>
                </c:pt>
                <c:pt idx="1">
                  <c:v>13.314285031789799</c:v>
                </c:pt>
                <c:pt idx="2">
                  <c:v>14.0702680349664</c:v>
                </c:pt>
                <c:pt idx="3">
                  <c:v>14.350953584969201</c:v>
                </c:pt>
                <c:pt idx="4">
                  <c:v>14.4680610586484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0-3147-B8C9-EADF07EE9135}"/>
            </c:ext>
          </c:extLst>
        </c:ser>
        <c:ser>
          <c:idx val="4"/>
          <c:order val="2"/>
          <c:tx>
            <c:strRef>
              <c:f>Sheet1!$G$80:$G$83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Sheet1!$G$84:$G$88</c:f>
              <c:numCache>
                <c:formatCode>General</c:formatCode>
                <c:ptCount val="5"/>
                <c:pt idx="0">
                  <c:v>0</c:v>
                </c:pt>
                <c:pt idx="1">
                  <c:v>0.64490825545088604</c:v>
                </c:pt>
                <c:pt idx="2">
                  <c:v>0.75411916905330556</c:v>
                </c:pt>
                <c:pt idx="3">
                  <c:v>0.80889265690954437</c:v>
                </c:pt>
                <c:pt idx="4">
                  <c:v>0.83632243192616107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50-3147-B8C9-EADF07EE9135}"/>
            </c:ext>
          </c:extLst>
        </c:ser>
        <c:ser>
          <c:idx val="5"/>
          <c:order val="3"/>
          <c:tx>
            <c:strRef>
              <c:f>Sheet1!$H$80:$H$83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Sheet1!$H$84:$H$88</c:f>
              <c:numCache>
                <c:formatCode>General</c:formatCode>
                <c:ptCount val="5"/>
                <c:pt idx="0">
                  <c:v>0</c:v>
                </c:pt>
                <c:pt idx="1">
                  <c:v>2.9831954240539997</c:v>
                </c:pt>
                <c:pt idx="2">
                  <c:v>3.4672312760788611</c:v>
                </c:pt>
                <c:pt idx="3">
                  <c:v>3.7104243664937782</c:v>
                </c:pt>
                <c:pt idx="4">
                  <c:v>3.8324441848367501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50-3147-B8C9-EADF07EE9135}"/>
            </c:ext>
          </c:extLst>
        </c:ser>
        <c:ser>
          <c:idx val="7"/>
          <c:order val="4"/>
          <c:tx>
            <c:strRef>
              <c:f>Sheet1!$J$80:$J$83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Sheet1!$J$84:$J$88</c:f>
              <c:numCache>
                <c:formatCode>General</c:formatCode>
                <c:ptCount val="5"/>
                <c:pt idx="0">
                  <c:v>0</c:v>
                </c:pt>
                <c:pt idx="1">
                  <c:v>1.3246513111556699</c:v>
                </c:pt>
                <c:pt idx="2">
                  <c:v>1.39005991580775</c:v>
                </c:pt>
                <c:pt idx="3">
                  <c:v>1.4096946453319401</c:v>
                </c:pt>
                <c:pt idx="4">
                  <c:v>1.41629718291161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50-3147-B8C9-EADF07EE9135}"/>
            </c:ext>
          </c:extLst>
        </c:ser>
        <c:ser>
          <c:idx val="8"/>
          <c:order val="5"/>
          <c:tx>
            <c:strRef>
              <c:f>Sheet1!$K$80:$K$83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Sheet1!$K$84:$K$88</c:f>
              <c:numCache>
                <c:formatCode>General</c:formatCode>
                <c:ptCount val="5"/>
                <c:pt idx="0">
                  <c:v>0</c:v>
                </c:pt>
                <c:pt idx="1">
                  <c:v>5.4935474719652797</c:v>
                </c:pt>
                <c:pt idx="2">
                  <c:v>5.7436081633036302</c:v>
                </c:pt>
                <c:pt idx="3">
                  <c:v>5.8169922322760801</c:v>
                </c:pt>
                <c:pt idx="4">
                  <c:v>5.8410644863495902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D50-3147-B8C9-EADF07EE9135}"/>
            </c:ext>
          </c:extLst>
        </c:ser>
        <c:ser>
          <c:idx val="10"/>
          <c:order val="6"/>
          <c:tx>
            <c:strRef>
              <c:f>Sheet1!$M$80:$M$83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IH1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Sheet1!$M$84:$M$88</c:f>
              <c:numCache>
                <c:formatCode>General</c:formatCode>
                <c:ptCount val="5"/>
                <c:pt idx="0">
                  <c:v>0</c:v>
                </c:pt>
                <c:pt idx="1">
                  <c:v>0.81820159213069721</c:v>
                </c:pt>
                <c:pt idx="2">
                  <c:v>0.95504643080845009</c:v>
                </c:pt>
                <c:pt idx="3">
                  <c:v>1.0235541545280666</c:v>
                </c:pt>
                <c:pt idx="4">
                  <c:v>1.0578318408088083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D50-3147-B8C9-EADF07EE9135}"/>
            </c:ext>
          </c:extLst>
        </c:ser>
        <c:ser>
          <c:idx val="11"/>
          <c:order val="7"/>
          <c:tx>
            <c:strRef>
              <c:f>Sheet1!$N$80:$N$83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Sheet1!$B$84:$B$88</c:f>
              <c:numCache>
                <c:formatCode>General</c:formatCode>
                <c:ptCount val="5"/>
                <c:pt idx="0">
                  <c:v>4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</c:numCache>
            </c:numRef>
          </c:cat>
          <c:val>
            <c:numRef>
              <c:f>Sheet1!$N$84:$N$88</c:f>
              <c:numCache>
                <c:formatCode>General</c:formatCode>
                <c:ptCount val="5"/>
                <c:pt idx="0">
                  <c:v>0</c:v>
                </c:pt>
                <c:pt idx="1">
                  <c:v>1.6244118472316722</c:v>
                </c:pt>
                <c:pt idx="2">
                  <c:v>1.8935891014454471</c:v>
                </c:pt>
                <c:pt idx="3">
                  <c:v>2.0283575852257694</c:v>
                </c:pt>
                <c:pt idx="4">
                  <c:v>2.0958050746156776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D50-3147-B8C9-EADF07EE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2151056"/>
        <c:axId val="402152768"/>
      </c:lineChart>
      <c:catAx>
        <c:axId val="40215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52768"/>
        <c:crosses val="autoZero"/>
        <c:auto val="1"/>
        <c:lblAlgn val="ctr"/>
        <c:lblOffset val="100"/>
        <c:noMultiLvlLbl val="0"/>
      </c:catAx>
      <c:valAx>
        <c:axId val="40215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5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Error by  decreasing num samples - test input true=32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Sheet1!$D$114:$D$117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Sheet1!$D$118:$D$121</c:f>
              <c:numCache>
                <c:formatCode>General</c:formatCode>
                <c:ptCount val="4"/>
                <c:pt idx="0">
                  <c:v>0</c:v>
                </c:pt>
                <c:pt idx="1">
                  <c:v>3.9313945669480497E-3</c:v>
                </c:pt>
                <c:pt idx="2">
                  <c:v>5.0619104774896097E-3</c:v>
                </c:pt>
                <c:pt idx="3">
                  <c:v>5.4190806095841997E-3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FA-674A-BB99-68AD74FB179C}"/>
            </c:ext>
          </c:extLst>
        </c:ser>
        <c:ser>
          <c:idx val="2"/>
          <c:order val="1"/>
          <c:tx>
            <c:strRef>
              <c:f>Sheet1!$E$114:$E$117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Sheet1!$E$118:$E$121</c:f>
              <c:numCache>
                <c:formatCode>General</c:formatCode>
                <c:ptCount val="4"/>
                <c:pt idx="0">
                  <c:v>0</c:v>
                </c:pt>
                <c:pt idx="1">
                  <c:v>0.13488344879509001</c:v>
                </c:pt>
                <c:pt idx="2">
                  <c:v>0.17240943199085701</c:v>
                </c:pt>
                <c:pt idx="3">
                  <c:v>0.18374949901080301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FA-674A-BB99-68AD74FB179C}"/>
            </c:ext>
          </c:extLst>
        </c:ser>
        <c:ser>
          <c:idx val="4"/>
          <c:order val="2"/>
          <c:tx>
            <c:strRef>
              <c:f>Sheet1!$G$114:$G$117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IH1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Sheet1!$G$118:$G$121</c:f>
              <c:numCache>
                <c:formatCode>General</c:formatCode>
                <c:ptCount val="4"/>
                <c:pt idx="0">
                  <c:v>0</c:v>
                </c:pt>
                <c:pt idx="1">
                  <c:v>5.353707939350083E-2</c:v>
                </c:pt>
                <c:pt idx="2">
                  <c:v>8.0306346463911951E-2</c:v>
                </c:pt>
                <c:pt idx="3">
                  <c:v>9.3691357826592769E-2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FA-674A-BB99-68AD74FB179C}"/>
            </c:ext>
          </c:extLst>
        </c:ser>
        <c:ser>
          <c:idx val="5"/>
          <c:order val="3"/>
          <c:tx>
            <c:strRef>
              <c:f>Sheet1!$H$114:$H$117</c:f>
              <c:strCache>
                <c:ptCount val="4"/>
                <c:pt idx="0">
                  <c:v>Voltage</c:v>
                </c:pt>
                <c:pt idx="1">
                  <c:v>Angle (%)</c:v>
                </c:pt>
                <c:pt idx="2">
                  <c:v>IH2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Sheet1!$H$118:$H$121</c:f>
              <c:numCache>
                <c:formatCode>General</c:formatCode>
                <c:ptCount val="4"/>
                <c:pt idx="0">
                  <c:v>0</c:v>
                </c:pt>
                <c:pt idx="1">
                  <c:v>0.28378399417489164</c:v>
                </c:pt>
                <c:pt idx="2">
                  <c:v>0.42550240154217778</c:v>
                </c:pt>
                <c:pt idx="3">
                  <c:v>0.49634441626723053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FA-674A-BB99-68AD74FB179C}"/>
            </c:ext>
          </c:extLst>
        </c:ser>
        <c:ser>
          <c:idx val="7"/>
          <c:order val="4"/>
          <c:tx>
            <c:strRef>
              <c:f>Sheet1!$J$114:$J$117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Sheet1!$J$118:$J$121</c:f>
              <c:numCache>
                <c:formatCode>General</c:formatCode>
                <c:ptCount val="4"/>
                <c:pt idx="0">
                  <c:v>0</c:v>
                </c:pt>
                <c:pt idx="1">
                  <c:v>9.7168291946573004E-3</c:v>
                </c:pt>
                <c:pt idx="2">
                  <c:v>1.16686944682528E-2</c:v>
                </c:pt>
                <c:pt idx="3">
                  <c:v>1.19209726100842E-2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4FA-674A-BB99-68AD74FB179C}"/>
            </c:ext>
          </c:extLst>
        </c:ser>
        <c:ser>
          <c:idx val="8"/>
          <c:order val="5"/>
          <c:tx>
            <c:strRef>
              <c:f>Sheet1!$K$114:$K$117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21.21320344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Sheet1!$K$118:$K$121</c:f>
              <c:numCache>
                <c:formatCode>General</c:formatCode>
                <c:ptCount val="4"/>
                <c:pt idx="0">
                  <c:v>0</c:v>
                </c:pt>
                <c:pt idx="1">
                  <c:v>4.88980812312323E-2</c:v>
                </c:pt>
                <c:pt idx="2">
                  <c:v>5.9091165781095703E-2</c:v>
                </c:pt>
                <c:pt idx="3">
                  <c:v>6.0641242339650202E-2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4FA-674A-BB99-68AD74FB179C}"/>
            </c:ext>
          </c:extLst>
        </c:ser>
        <c:ser>
          <c:idx val="10"/>
          <c:order val="6"/>
          <c:tx>
            <c:strRef>
              <c:f>Sheet1!$M$114:$M$117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IH1</c:v>
                </c:pt>
                <c:pt idx="3">
                  <c:v>21.21320344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Sheet1!$M$118:$M$121</c:f>
              <c:numCache>
                <c:formatCode>General</c:formatCode>
                <c:ptCount val="4"/>
                <c:pt idx="0">
                  <c:v>0</c:v>
                </c:pt>
                <c:pt idx="1">
                  <c:v>6.6957797718573048E-2</c:v>
                </c:pt>
                <c:pt idx="2">
                  <c:v>0.10042634512889806</c:v>
                </c:pt>
                <c:pt idx="3">
                  <c:v>0.11715839980855221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4FA-674A-BB99-68AD74FB179C}"/>
            </c:ext>
          </c:extLst>
        </c:ser>
        <c:ser>
          <c:idx val="11"/>
          <c:order val="7"/>
          <c:tx>
            <c:strRef>
              <c:f>Sheet1!$N$114:$N$117</c:f>
              <c:strCache>
                <c:ptCount val="4"/>
                <c:pt idx="0">
                  <c:v>Current</c:v>
                </c:pt>
                <c:pt idx="1">
                  <c:v>Angle (%)</c:v>
                </c:pt>
                <c:pt idx="2">
                  <c:v>IH2</c:v>
                </c:pt>
                <c:pt idx="3">
                  <c:v>21.21320344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Sheet1!$B$118:$B$121</c:f>
              <c:numCache>
                <c:formatCode>General</c:formatCode>
                <c:ptCount val="4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</c:numCache>
            </c:numRef>
          </c:cat>
          <c:val>
            <c:numRef>
              <c:f>Sheet1!$N$118:$N$121</c:f>
              <c:numCache>
                <c:formatCode>General</c:formatCode>
                <c:ptCount val="4"/>
                <c:pt idx="0">
                  <c:v>0</c:v>
                </c:pt>
                <c:pt idx="1">
                  <c:v>0.14201703368226581</c:v>
                </c:pt>
                <c:pt idx="2">
                  <c:v>0.21297467671003581</c:v>
                </c:pt>
                <c:pt idx="3">
                  <c:v>0.24844387055075359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4FA-674A-BB99-68AD74F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080015"/>
        <c:axId val="106783423"/>
      </c:lineChart>
      <c:catAx>
        <c:axId val="86008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83423"/>
        <c:crosses val="autoZero"/>
        <c:auto val="1"/>
        <c:lblAlgn val="ctr"/>
        <c:lblOffset val="100"/>
        <c:noMultiLvlLbl val="0"/>
      </c:catAx>
      <c:valAx>
        <c:axId val="106783423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008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11</xdr:col>
      <xdr:colOff>152400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B4BE42-0A52-7167-6164-4C7FCA6BF9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340731</xdr:colOff>
      <xdr:row>49</xdr:row>
      <xdr:rowOff>125554</xdr:rowOff>
    </xdr:from>
    <xdr:to>
      <xdr:col>10</xdr:col>
      <xdr:colOff>134227</xdr:colOff>
      <xdr:row>77</xdr:row>
      <xdr:rowOff>10326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7FD57A-5302-9477-667E-2213F1A8E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61952</xdr:colOff>
      <xdr:row>89</xdr:row>
      <xdr:rowOff>182342</xdr:rowOff>
    </xdr:from>
    <xdr:to>
      <xdr:col>10</xdr:col>
      <xdr:colOff>371708</xdr:colOff>
      <xdr:row>111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71F7B9-97F1-97B1-5C0E-ECEDFB3E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796073</xdr:colOff>
      <xdr:row>122</xdr:row>
      <xdr:rowOff>120390</xdr:rowOff>
    </xdr:from>
    <xdr:to>
      <xdr:col>11</xdr:col>
      <xdr:colOff>382032</xdr:colOff>
      <xdr:row>144</xdr:row>
      <xdr:rowOff>113576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E2B2EE-B9FB-8041-F4D3-7A5A6A5FE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F894-E702-7E42-B800-22D87E224E74}">
  <dimension ref="A5:N135"/>
  <sheetViews>
    <sheetView tabSelected="1" topLeftCell="A103" zoomScale="123" workbookViewId="0">
      <selection activeCell="M110" sqref="M110"/>
    </sheetView>
  </sheetViews>
  <sheetFormatPr baseColWidth="10" defaultRowHeight="16" x14ac:dyDescent="0.2"/>
  <cols>
    <col min="1" max="1" width="13" customWidth="1"/>
    <col min="2" max="2" width="12.33203125" customWidth="1"/>
    <col min="4" max="4" width="11.6640625" bestFit="1" customWidth="1"/>
    <col min="5" max="5" width="11.83203125" bestFit="1" customWidth="1"/>
    <col min="8" max="8" width="12.33203125" bestFit="1" customWidth="1"/>
    <col min="9" max="9" width="11.33203125" bestFit="1" customWidth="1"/>
    <col min="10" max="11" width="12.33203125" bestFit="1" customWidth="1"/>
    <col min="12" max="12" width="11.33203125" bestFit="1" customWidth="1"/>
    <col min="13" max="14" width="12.33203125" bestFit="1" customWidth="1"/>
  </cols>
  <sheetData>
    <row r="5" spans="1:14" x14ac:dyDescent="0.2">
      <c r="A5" s="50" t="s">
        <v>6</v>
      </c>
      <c r="B5" s="23" t="s">
        <v>5</v>
      </c>
      <c r="C5" s="53" t="s">
        <v>9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4"/>
    </row>
    <row r="6" spans="1:14" x14ac:dyDescent="0.2">
      <c r="A6" s="51"/>
      <c r="C6" s="55" t="s">
        <v>3</v>
      </c>
      <c r="D6" s="55"/>
      <c r="E6" s="55"/>
      <c r="F6" s="55"/>
      <c r="G6" s="55"/>
      <c r="H6" s="55"/>
      <c r="I6" s="56" t="s">
        <v>4</v>
      </c>
      <c r="J6" s="56"/>
      <c r="K6" s="56"/>
      <c r="L6" s="56"/>
      <c r="M6" s="56"/>
      <c r="N6" s="57"/>
    </row>
    <row r="7" spans="1:14" x14ac:dyDescent="0.2">
      <c r="A7" s="51"/>
      <c r="C7" s="58" t="s">
        <v>7</v>
      </c>
      <c r="D7" s="58"/>
      <c r="E7" s="58"/>
      <c r="F7" s="59" t="s">
        <v>13</v>
      </c>
      <c r="G7" s="59"/>
      <c r="H7" s="59"/>
      <c r="I7" s="58" t="s">
        <v>7</v>
      </c>
      <c r="J7" s="58"/>
      <c r="K7" s="58"/>
      <c r="L7" s="59" t="s">
        <v>13</v>
      </c>
      <c r="M7" s="59"/>
      <c r="N7" s="60"/>
    </row>
    <row r="8" spans="1:14" x14ac:dyDescent="0.2">
      <c r="A8" s="51"/>
      <c r="C8" s="6" t="s">
        <v>0</v>
      </c>
      <c r="D8" s="8" t="s">
        <v>1</v>
      </c>
      <c r="E8" s="9" t="s">
        <v>2</v>
      </c>
      <c r="F8" s="7" t="s">
        <v>0</v>
      </c>
      <c r="G8" s="10" t="s">
        <v>1</v>
      </c>
      <c r="H8" s="11" t="s">
        <v>2</v>
      </c>
      <c r="I8" s="12" t="s">
        <v>0</v>
      </c>
      <c r="J8" s="13" t="s">
        <v>1</v>
      </c>
      <c r="K8" s="14" t="s">
        <v>2</v>
      </c>
      <c r="L8" s="15" t="s">
        <v>0</v>
      </c>
      <c r="M8" s="16" t="s">
        <v>1</v>
      </c>
      <c r="N8" s="3" t="s">
        <v>2</v>
      </c>
    </row>
    <row r="9" spans="1:14" x14ac:dyDescent="0.2">
      <c r="A9" s="51"/>
      <c r="C9" s="6">
        <v>23.6</v>
      </c>
      <c r="D9" s="8">
        <v>0.16700000000000001</v>
      </c>
      <c r="E9" s="9">
        <v>1.3</v>
      </c>
      <c r="F9" s="7"/>
      <c r="G9" s="10"/>
      <c r="H9" s="11"/>
      <c r="I9" s="6">
        <v>24.7</v>
      </c>
      <c r="J9" s="13">
        <v>5.84</v>
      </c>
      <c r="K9" s="14">
        <v>17.899999999999999</v>
      </c>
      <c r="L9" s="15"/>
      <c r="M9" s="16"/>
      <c r="N9" s="3"/>
    </row>
    <row r="10" spans="1:14" x14ac:dyDescent="0.2">
      <c r="A10" s="51"/>
      <c r="B10" s="24">
        <v>4</v>
      </c>
      <c r="C10" s="17">
        <v>3.1403805879947898E-6</v>
      </c>
      <c r="D10" s="18">
        <v>57.921121794061399</v>
      </c>
      <c r="E10" s="19">
        <v>1.52670571921191</v>
      </c>
      <c r="F10" s="48">
        <v>6.7776717446781944E-4</v>
      </c>
      <c r="G10" s="49">
        <v>33.567427007489719</v>
      </c>
      <c r="H10" s="32">
        <v>3.8369030802132498</v>
      </c>
      <c r="I10" s="20">
        <v>2.8870125594628499E-4</v>
      </c>
      <c r="J10" s="18">
        <v>36.541247207741399</v>
      </c>
      <c r="K10" s="19">
        <v>12.757411741903301</v>
      </c>
      <c r="L10" s="48">
        <v>1.0352107419364888E-3</v>
      </c>
      <c r="M10" s="31">
        <v>5.4388454695422501</v>
      </c>
      <c r="N10" s="32">
        <v>3.8005923813240834</v>
      </c>
    </row>
    <row r="11" spans="1:14" x14ac:dyDescent="0.2">
      <c r="A11" s="51"/>
      <c r="B11" s="24">
        <v>16</v>
      </c>
      <c r="C11" s="17">
        <v>3.1403806406208702E-6</v>
      </c>
      <c r="D11" s="18">
        <v>44.201060392163001</v>
      </c>
      <c r="E11" s="19">
        <v>0.42830047319152698</v>
      </c>
      <c r="F11" s="48">
        <v>6.7776717446573322E-4</v>
      </c>
      <c r="G11" s="31">
        <v>3.0184491985506385</v>
      </c>
      <c r="H11" s="32">
        <v>0.93918999872614173</v>
      </c>
      <c r="I11" s="20">
        <v>2.8870125593634898E-4</v>
      </c>
      <c r="J11" s="21">
        <v>7.6305974959515597</v>
      </c>
      <c r="K11" s="19">
        <v>1.3173329200924799</v>
      </c>
      <c r="L11" s="48">
        <v>1.0352107419483473E-3</v>
      </c>
      <c r="M11" s="31">
        <v>1.8514080536806612</v>
      </c>
      <c r="N11" s="32">
        <v>0.94874787740398625</v>
      </c>
    </row>
    <row r="12" spans="1:14" x14ac:dyDescent="0.2">
      <c r="A12" s="51"/>
      <c r="B12" s="24">
        <v>32</v>
      </c>
      <c r="C12" s="17">
        <v>3.1403806706798202E-6</v>
      </c>
      <c r="D12" s="21">
        <v>14.6033960329473</v>
      </c>
      <c r="E12" s="19">
        <v>0.22030130062529099</v>
      </c>
      <c r="F12" s="48">
        <v>6.7776717446521389E-4</v>
      </c>
      <c r="G12" s="31">
        <v>1.5243931260429084</v>
      </c>
      <c r="H12" s="32">
        <v>0.40857999380964721</v>
      </c>
      <c r="I12" s="20">
        <v>2.8870125594506997E-4</v>
      </c>
      <c r="J12" s="21">
        <v>3.16050084153744</v>
      </c>
      <c r="K12" s="19">
        <v>0.48366772847237099</v>
      </c>
      <c r="L12" s="48">
        <v>1.0352107419506916E-3</v>
      </c>
      <c r="M12" s="31">
        <v>0.84087198053270273</v>
      </c>
      <c r="N12" s="32">
        <v>0.4115314699889695</v>
      </c>
    </row>
    <row r="13" spans="1:14" x14ac:dyDescent="0.2">
      <c r="A13" s="52"/>
      <c r="B13" s="25">
        <v>64</v>
      </c>
      <c r="C13" s="2">
        <v>3.1403806781989198E-6</v>
      </c>
      <c r="D13" s="5">
        <v>4.3821111293192496</v>
      </c>
      <c r="E13" s="4">
        <v>8.0088619307672998E-2</v>
      </c>
      <c r="F13" s="48">
        <v>6.7776717446313894E-4</v>
      </c>
      <c r="G13" s="31">
        <v>0.55474914408548337</v>
      </c>
      <c r="H13" s="32">
        <v>0.13758033868262667</v>
      </c>
      <c r="I13" s="22">
        <v>2.8870125594815599E-4</v>
      </c>
      <c r="J13" s="5">
        <v>1.0278433285048501</v>
      </c>
      <c r="K13" s="4">
        <v>0.14737573370680199</v>
      </c>
      <c r="L13" s="48">
        <v>1.0352107419467277E-3</v>
      </c>
      <c r="M13" s="31">
        <v>0.28741191647019165</v>
      </c>
      <c r="N13" s="32">
        <v>0.13847787792692862</v>
      </c>
    </row>
    <row r="14" spans="1:14" x14ac:dyDescent="0.2">
      <c r="A14" s="1"/>
    </row>
    <row r="15" spans="1:14" x14ac:dyDescent="0.2">
      <c r="M15" s="1"/>
    </row>
    <row r="16" spans="1:14" x14ac:dyDescent="0.2">
      <c r="B16" s="1"/>
    </row>
    <row r="18" spans="3:3" x14ac:dyDescent="0.2">
      <c r="C18" s="1"/>
    </row>
    <row r="41" spans="1:14" x14ac:dyDescent="0.2">
      <c r="A41" s="50" t="s">
        <v>6</v>
      </c>
      <c r="B41" s="23" t="s">
        <v>5</v>
      </c>
      <c r="C41" s="53" t="s">
        <v>8</v>
      </c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4"/>
    </row>
    <row r="42" spans="1:14" x14ac:dyDescent="0.2">
      <c r="A42" s="51"/>
      <c r="C42" s="55" t="s">
        <v>3</v>
      </c>
      <c r="D42" s="55"/>
      <c r="E42" s="55"/>
      <c r="F42" s="55"/>
      <c r="G42" s="55"/>
      <c r="H42" s="55"/>
      <c r="I42" s="56" t="s">
        <v>4</v>
      </c>
      <c r="J42" s="56"/>
      <c r="K42" s="56"/>
      <c r="L42" s="56"/>
      <c r="M42" s="56"/>
      <c r="N42" s="57"/>
    </row>
    <row r="43" spans="1:14" x14ac:dyDescent="0.2">
      <c r="A43" s="51"/>
      <c r="C43" s="58" t="s">
        <v>7</v>
      </c>
      <c r="D43" s="58"/>
      <c r="E43" s="58"/>
      <c r="F43" s="59" t="s">
        <v>13</v>
      </c>
      <c r="G43" s="59"/>
      <c r="H43" s="59"/>
      <c r="I43" s="58" t="s">
        <v>7</v>
      </c>
      <c r="J43" s="58"/>
      <c r="K43" s="58"/>
      <c r="L43" s="59" t="s">
        <v>13</v>
      </c>
      <c r="M43" s="59"/>
      <c r="N43" s="60"/>
    </row>
    <row r="44" spans="1:14" x14ac:dyDescent="0.2">
      <c r="A44" s="51"/>
      <c r="C44" s="6" t="s">
        <v>0</v>
      </c>
      <c r="D44" s="8" t="s">
        <v>1</v>
      </c>
      <c r="E44" s="9" t="s">
        <v>2</v>
      </c>
      <c r="F44" s="7" t="s">
        <v>0</v>
      </c>
      <c r="G44" s="10" t="s">
        <v>1</v>
      </c>
      <c r="H44" s="11" t="s">
        <v>2</v>
      </c>
      <c r="I44" s="12" t="s">
        <v>0</v>
      </c>
      <c r="J44" s="13" t="s">
        <v>1</v>
      </c>
      <c r="K44" s="14" t="s">
        <v>2</v>
      </c>
      <c r="L44" s="15" t="s">
        <v>0</v>
      </c>
      <c r="M44" s="16" t="s">
        <v>1</v>
      </c>
      <c r="N44" s="3" t="s">
        <v>2</v>
      </c>
    </row>
    <row r="45" spans="1:14" x14ac:dyDescent="0.2">
      <c r="A45" s="51"/>
      <c r="C45" s="6">
        <v>72.41</v>
      </c>
      <c r="D45" s="8">
        <v>1.1200000000000001</v>
      </c>
      <c r="E45" s="9">
        <v>2.11</v>
      </c>
      <c r="F45" s="7"/>
      <c r="G45" s="10"/>
      <c r="H45" s="11"/>
      <c r="I45" s="6">
        <v>47.71</v>
      </c>
      <c r="J45" s="13">
        <v>1.25</v>
      </c>
      <c r="K45" s="14">
        <v>5.9</v>
      </c>
      <c r="L45" s="15"/>
      <c r="M45" s="16"/>
      <c r="N45" s="3"/>
    </row>
    <row r="46" spans="1:14" x14ac:dyDescent="0.2">
      <c r="A46" s="51"/>
      <c r="B46" s="24">
        <v>4</v>
      </c>
      <c r="C46" s="17">
        <v>2.8436320146466699E-6</v>
      </c>
      <c r="D46" s="21">
        <v>7.0364835106707</v>
      </c>
      <c r="E46" s="19">
        <v>2.0636562930213298</v>
      </c>
      <c r="F46" s="48">
        <v>6.7776088241688892E-4</v>
      </c>
      <c r="G46" s="31">
        <v>1.3880810866392388</v>
      </c>
      <c r="H46" s="32">
        <v>0.76416290486599725</v>
      </c>
      <c r="I46" s="17">
        <v>2.36029906614891E-5</v>
      </c>
      <c r="J46" s="18">
        <v>16.229706232913401</v>
      </c>
      <c r="K46" s="19">
        <v>0.97334893480879403</v>
      </c>
      <c r="L46" s="48">
        <v>5.8670317191961943E-4</v>
      </c>
      <c r="M46" s="31">
        <v>2.4240183705982861</v>
      </c>
      <c r="N46" s="32">
        <v>0.66497601823474173</v>
      </c>
    </row>
    <row r="47" spans="1:14" x14ac:dyDescent="0.2">
      <c r="A47" s="51"/>
      <c r="B47" s="24">
        <v>16</v>
      </c>
      <c r="C47" s="17">
        <v>2.84363205389333E-6</v>
      </c>
      <c r="D47" s="21">
        <v>1.12792254807606</v>
      </c>
      <c r="E47" s="19">
        <v>0.32161978572287803</v>
      </c>
      <c r="F47" s="48">
        <v>6.7776088240294717E-4</v>
      </c>
      <c r="G47" s="31">
        <v>0.32081737544546945</v>
      </c>
      <c r="H47" s="32">
        <v>0.18215451106634445</v>
      </c>
      <c r="I47" s="17">
        <v>2.36029907210766E-5</v>
      </c>
      <c r="J47" s="21">
        <v>3.71071096932579</v>
      </c>
      <c r="K47" s="19">
        <v>0.17698593410796001</v>
      </c>
      <c r="L47" s="48">
        <v>5.8670317191874166E-4</v>
      </c>
      <c r="M47" s="31">
        <v>0.5378996725770111</v>
      </c>
      <c r="N47" s="32">
        <v>0.16361360301029193</v>
      </c>
    </row>
    <row r="48" spans="1:14" x14ac:dyDescent="0.2">
      <c r="A48" s="51"/>
      <c r="B48" s="24">
        <v>32</v>
      </c>
      <c r="C48" s="17">
        <v>2.8436320724290599E-6</v>
      </c>
      <c r="D48" s="21">
        <v>0.469670838395853</v>
      </c>
      <c r="E48" s="19">
        <v>0.13453236482842601</v>
      </c>
      <c r="F48" s="48">
        <v>6.7776088239413336E-4</v>
      </c>
      <c r="G48" s="31">
        <v>0.13782302042325639</v>
      </c>
      <c r="H48" s="32">
        <v>7.878933508121444E-2</v>
      </c>
      <c r="I48" s="17">
        <v>2.3602990751690499E-5</v>
      </c>
      <c r="J48" s="21">
        <v>1.60517167103233</v>
      </c>
      <c r="K48" s="19">
        <v>7.2903640177317305E-2</v>
      </c>
      <c r="L48" s="48">
        <v>5.8670317191621948E-4</v>
      </c>
      <c r="M48" s="31">
        <v>0.23413187694571613</v>
      </c>
      <c r="N48" s="32">
        <v>7.1227688306574444E-2</v>
      </c>
    </row>
    <row r="49" spans="1:14" x14ac:dyDescent="0.2">
      <c r="A49" s="52"/>
      <c r="B49" s="25">
        <v>64</v>
      </c>
      <c r="C49" s="2">
        <v>2.8436320408069399E-6</v>
      </c>
      <c r="D49" s="5">
        <v>0.15484789480955799</v>
      </c>
      <c r="E49" s="26">
        <v>4.4072657263146499E-2</v>
      </c>
      <c r="F49" s="48">
        <v>6.7776088241015831E-4</v>
      </c>
      <c r="G49" s="31">
        <v>4.5871524265461941E-2</v>
      </c>
      <c r="H49" s="32">
        <v>2.6536808739878612E-2</v>
      </c>
      <c r="I49" s="2">
        <v>2.3602990662363299E-5</v>
      </c>
      <c r="J49" s="5">
        <v>0.53921904291765899</v>
      </c>
      <c r="K49" s="4">
        <v>2.3032369559975199E-2</v>
      </c>
      <c r="L49" s="48">
        <v>5.8670317191304169E-4</v>
      </c>
      <c r="M49" s="31">
        <v>7.8273809552996385E-2</v>
      </c>
      <c r="N49" s="32">
        <v>2.4277756341936834E-2</v>
      </c>
    </row>
    <row r="58" spans="1:14" x14ac:dyDescent="0.2">
      <c r="C58" s="1"/>
      <c r="D58" s="1"/>
    </row>
    <row r="59" spans="1:14" x14ac:dyDescent="0.2">
      <c r="E59" s="1"/>
      <c r="F59" s="1"/>
    </row>
    <row r="61" spans="1:14" x14ac:dyDescent="0.2">
      <c r="C61" s="1"/>
      <c r="D61" s="1"/>
    </row>
    <row r="62" spans="1:14" x14ac:dyDescent="0.2">
      <c r="E62" s="1"/>
      <c r="F62" s="1"/>
    </row>
    <row r="79" spans="1:14" x14ac:dyDescent="0.2">
      <c r="A79" s="50" t="s">
        <v>10</v>
      </c>
      <c r="B79" s="23" t="s">
        <v>5</v>
      </c>
      <c r="C79" s="53" t="s">
        <v>11</v>
      </c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4"/>
    </row>
    <row r="80" spans="1:14" x14ac:dyDescent="0.2">
      <c r="A80" s="51"/>
      <c r="C80" s="55" t="s">
        <v>3</v>
      </c>
      <c r="D80" s="55"/>
      <c r="E80" s="55"/>
      <c r="F80" s="55"/>
      <c r="G80" s="55"/>
      <c r="H80" s="55"/>
      <c r="I80" s="56" t="s">
        <v>4</v>
      </c>
      <c r="J80" s="56"/>
      <c r="K80" s="56"/>
      <c r="L80" s="56"/>
      <c r="M80" s="56"/>
      <c r="N80" s="57"/>
    </row>
    <row r="81" spans="1:14" x14ac:dyDescent="0.2">
      <c r="A81" s="51"/>
      <c r="C81" s="58" t="s">
        <v>7</v>
      </c>
      <c r="D81" s="58"/>
      <c r="E81" s="58"/>
      <c r="F81" s="59" t="s">
        <v>13</v>
      </c>
      <c r="G81" s="59"/>
      <c r="H81" s="59"/>
      <c r="I81" s="58" t="s">
        <v>7</v>
      </c>
      <c r="J81" s="58"/>
      <c r="K81" s="58"/>
      <c r="L81" s="59" t="s">
        <v>13</v>
      </c>
      <c r="M81" s="59"/>
      <c r="N81" s="60"/>
    </row>
    <row r="82" spans="1:14" x14ac:dyDescent="0.2">
      <c r="A82" s="51"/>
      <c r="C82" s="6" t="s">
        <v>0</v>
      </c>
      <c r="D82" s="8" t="s">
        <v>1</v>
      </c>
      <c r="E82" s="9" t="s">
        <v>2</v>
      </c>
      <c r="F82" s="7" t="s">
        <v>0</v>
      </c>
      <c r="G82" s="10" t="s">
        <v>1</v>
      </c>
      <c r="H82" s="11" t="s">
        <v>2</v>
      </c>
      <c r="I82" s="12" t="s">
        <v>0</v>
      </c>
      <c r="J82" s="13" t="s">
        <v>1</v>
      </c>
      <c r="K82" s="14" t="s">
        <v>2</v>
      </c>
      <c r="L82" s="15" t="s">
        <v>0</v>
      </c>
      <c r="M82" s="16" t="s">
        <v>1</v>
      </c>
      <c r="N82" s="3" t="s">
        <v>2</v>
      </c>
    </row>
    <row r="83" spans="1:14" x14ac:dyDescent="0.2">
      <c r="A83" s="51"/>
      <c r="C83" s="6">
        <f>100/SQRT(2)</f>
        <v>70.710678118654741</v>
      </c>
      <c r="D83" s="8">
        <f>50/SQRT(2)</f>
        <v>35.35533905932737</v>
      </c>
      <c r="E83" s="9">
        <f>10/SQRT(2)</f>
        <v>7.0710678118654746</v>
      </c>
      <c r="F83" s="7"/>
      <c r="G83" s="10"/>
      <c r="H83" s="11"/>
      <c r="I83" s="6">
        <f>50/SQRT(2)</f>
        <v>35.35533905932737</v>
      </c>
      <c r="J83" s="8">
        <f>10/SQRT(2)</f>
        <v>7.0710678118654746</v>
      </c>
      <c r="K83" s="14">
        <f>5/SQRT(2)</f>
        <v>3.5355339059327373</v>
      </c>
      <c r="L83" s="15"/>
      <c r="M83" s="16"/>
      <c r="N83" s="3"/>
    </row>
    <row r="84" spans="1:14" s="47" customFormat="1" x14ac:dyDescent="0.2">
      <c r="A84" s="51"/>
      <c r="B84" s="43">
        <v>4</v>
      </c>
      <c r="C84" s="36">
        <v>0</v>
      </c>
      <c r="D84" s="37">
        <v>0</v>
      </c>
      <c r="E84" s="38">
        <v>0</v>
      </c>
      <c r="F84" s="39">
        <v>0</v>
      </c>
      <c r="G84" s="40">
        <v>0</v>
      </c>
      <c r="H84" s="41">
        <v>0</v>
      </c>
      <c r="I84" s="36">
        <v>0</v>
      </c>
      <c r="J84" s="37">
        <v>0</v>
      </c>
      <c r="K84" s="42">
        <v>0</v>
      </c>
      <c r="L84" s="44">
        <v>0</v>
      </c>
      <c r="M84" s="45">
        <v>0</v>
      </c>
      <c r="N84" s="46">
        <v>0</v>
      </c>
    </row>
    <row r="85" spans="1:14" x14ac:dyDescent="0.2">
      <c r="A85" s="51"/>
      <c r="B85" s="24">
        <v>16</v>
      </c>
      <c r="C85" s="28">
        <v>2.1725055332316901E-12</v>
      </c>
      <c r="D85" s="29">
        <v>0.53637402867444695</v>
      </c>
      <c r="E85" s="30">
        <v>13.314285031789799</v>
      </c>
      <c r="F85" s="48">
        <v>4.8156419078267223E-13</v>
      </c>
      <c r="G85" s="31">
        <v>0.64490825545088604</v>
      </c>
      <c r="H85" s="32">
        <v>2.9831954240539997</v>
      </c>
      <c r="I85" s="28">
        <v>2.1142237011653399E-12</v>
      </c>
      <c r="J85" s="29">
        <v>1.3246513111556699</v>
      </c>
      <c r="K85" s="30">
        <v>5.4935474719652797</v>
      </c>
      <c r="L85" s="48">
        <v>4.4860929385220557E-13</v>
      </c>
      <c r="M85" s="31">
        <v>0.81820159213069721</v>
      </c>
      <c r="N85" s="32">
        <v>1.6244118472316722</v>
      </c>
    </row>
    <row r="86" spans="1:14" x14ac:dyDescent="0.2">
      <c r="A86" s="51"/>
      <c r="B86" s="24">
        <v>32</v>
      </c>
      <c r="C86" s="28">
        <v>1.55552200066725E-12</v>
      </c>
      <c r="D86" s="29">
        <v>0.57664424944514303</v>
      </c>
      <c r="E86" s="30">
        <v>14.0702680349664</v>
      </c>
      <c r="F86" s="48">
        <v>4.701886772095555E-13</v>
      </c>
      <c r="G86" s="31">
        <v>0.75411916905330556</v>
      </c>
      <c r="H86" s="32">
        <v>3.4672312760788611</v>
      </c>
      <c r="I86" s="28">
        <v>1.5394442538903201E-12</v>
      </c>
      <c r="J86" s="29">
        <v>1.39005991580775</v>
      </c>
      <c r="K86" s="30">
        <v>5.7436081633036302</v>
      </c>
      <c r="L86" s="48">
        <v>4.3891775192695281E-13</v>
      </c>
      <c r="M86" s="31">
        <v>0.95504643080845009</v>
      </c>
      <c r="N86" s="32">
        <v>1.8935891014454471</v>
      </c>
    </row>
    <row r="87" spans="1:14" x14ac:dyDescent="0.2">
      <c r="A87" s="51"/>
      <c r="B87" s="24">
        <v>64</v>
      </c>
      <c r="C87" s="28">
        <v>2.1905929983555999E-13</v>
      </c>
      <c r="D87" s="29">
        <v>0.59248477441024305</v>
      </c>
      <c r="E87" s="30">
        <v>14.350953584969201</v>
      </c>
      <c r="F87" s="48">
        <v>6.6440331068254452E-13</v>
      </c>
      <c r="G87" s="31">
        <v>0.80889265690954437</v>
      </c>
      <c r="H87" s="32">
        <v>3.7104243664937782</v>
      </c>
      <c r="I87" s="28">
        <v>1.3465112925672001E-13</v>
      </c>
      <c r="J87" s="29">
        <v>1.4096946453319401</v>
      </c>
      <c r="K87" s="30">
        <v>5.8169922322760801</v>
      </c>
      <c r="L87" s="48">
        <v>6.417263137749805E-13</v>
      </c>
      <c r="M87" s="31">
        <v>1.0235541545280666</v>
      </c>
      <c r="N87" s="32">
        <v>2.0283575852257694</v>
      </c>
    </row>
    <row r="88" spans="1:14" x14ac:dyDescent="0.2">
      <c r="A88" s="52"/>
      <c r="B88" s="25">
        <v>128</v>
      </c>
      <c r="C88" s="28">
        <v>1.6680662281056401E-13</v>
      </c>
      <c r="D88" s="29">
        <v>0.599348134990493</v>
      </c>
      <c r="E88" s="30">
        <v>14.4680610586484</v>
      </c>
      <c r="F88" s="48">
        <v>6.2974045271459165E-13</v>
      </c>
      <c r="G88" s="31">
        <v>0.83632243192616107</v>
      </c>
      <c r="H88" s="32">
        <v>3.8324441848367501</v>
      </c>
      <c r="I88" s="28">
        <v>9.4456762314415797E-14</v>
      </c>
      <c r="J88" s="29">
        <v>1.41629718291161</v>
      </c>
      <c r="K88" s="30">
        <v>5.8410644863495902</v>
      </c>
      <c r="L88" s="48">
        <v>6.0803181029376948E-13</v>
      </c>
      <c r="M88" s="31">
        <v>1.0578318408088083</v>
      </c>
      <c r="N88" s="32">
        <v>2.0958050746156776</v>
      </c>
    </row>
    <row r="92" spans="1:14" x14ac:dyDescent="0.2">
      <c r="B92" s="1"/>
      <c r="D92" s="27"/>
    </row>
    <row r="93" spans="1:14" x14ac:dyDescent="0.2">
      <c r="A93" s="1"/>
      <c r="D93" s="1"/>
      <c r="E93" s="1"/>
    </row>
    <row r="94" spans="1:14" x14ac:dyDescent="0.2">
      <c r="D94" s="1"/>
    </row>
    <row r="95" spans="1:14" x14ac:dyDescent="0.2">
      <c r="B95" s="1"/>
    </row>
    <row r="96" spans="1:14" x14ac:dyDescent="0.2">
      <c r="A96" s="1"/>
      <c r="D96" s="1"/>
      <c r="E96" s="1"/>
    </row>
    <row r="97" spans="1:5" x14ac:dyDescent="0.2">
      <c r="D97" s="1"/>
    </row>
    <row r="99" spans="1:5" x14ac:dyDescent="0.2">
      <c r="B99" s="1"/>
    </row>
    <row r="100" spans="1:5" x14ac:dyDescent="0.2">
      <c r="A100" s="1"/>
      <c r="D100" s="1"/>
      <c r="E100" s="1"/>
    </row>
    <row r="101" spans="1:5" x14ac:dyDescent="0.2">
      <c r="D101" s="1"/>
    </row>
    <row r="102" spans="1:5" x14ac:dyDescent="0.2">
      <c r="B102" s="1"/>
    </row>
    <row r="103" spans="1:5" x14ac:dyDescent="0.2">
      <c r="A103" s="1"/>
      <c r="D103" s="1"/>
      <c r="E103" s="1"/>
    </row>
    <row r="104" spans="1:5" x14ac:dyDescent="0.2">
      <c r="D104" s="1"/>
    </row>
    <row r="113" spans="1:14" x14ac:dyDescent="0.2">
      <c r="A113" s="50" t="s">
        <v>12</v>
      </c>
      <c r="B113" s="23" t="s">
        <v>5</v>
      </c>
      <c r="C113" s="53" t="s">
        <v>11</v>
      </c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4"/>
    </row>
    <row r="114" spans="1:14" x14ac:dyDescent="0.2">
      <c r="A114" s="51"/>
      <c r="C114" s="55" t="s">
        <v>3</v>
      </c>
      <c r="D114" s="55"/>
      <c r="E114" s="55"/>
      <c r="F114" s="55"/>
      <c r="G114" s="55"/>
      <c r="H114" s="55"/>
      <c r="I114" s="56" t="s">
        <v>4</v>
      </c>
      <c r="J114" s="56"/>
      <c r="K114" s="56"/>
      <c r="L114" s="56"/>
      <c r="M114" s="56"/>
      <c r="N114" s="57"/>
    </row>
    <row r="115" spans="1:14" x14ac:dyDescent="0.2">
      <c r="A115" s="51"/>
      <c r="C115" s="58" t="s">
        <v>7</v>
      </c>
      <c r="D115" s="58"/>
      <c r="E115" s="58"/>
      <c r="F115" s="59" t="s">
        <v>13</v>
      </c>
      <c r="G115" s="59"/>
      <c r="H115" s="59"/>
      <c r="I115" s="58" t="s">
        <v>7</v>
      </c>
      <c r="J115" s="58"/>
      <c r="K115" s="58"/>
      <c r="L115" s="59" t="s">
        <v>13</v>
      </c>
      <c r="M115" s="59"/>
      <c r="N115" s="60"/>
    </row>
    <row r="116" spans="1:14" x14ac:dyDescent="0.2">
      <c r="A116" s="51"/>
      <c r="C116" s="6" t="s">
        <v>0</v>
      </c>
      <c r="D116" s="8" t="s">
        <v>1</v>
      </c>
      <c r="E116" s="9" t="s">
        <v>2</v>
      </c>
      <c r="F116" s="7" t="s">
        <v>0</v>
      </c>
      <c r="G116" s="10" t="s">
        <v>1</v>
      </c>
      <c r="H116" s="11" t="s">
        <v>2</v>
      </c>
      <c r="I116" s="12" t="s">
        <v>0</v>
      </c>
      <c r="J116" s="13" t="s">
        <v>1</v>
      </c>
      <c r="K116" s="14" t="s">
        <v>2</v>
      </c>
      <c r="L116" s="15" t="s">
        <v>0</v>
      </c>
      <c r="M116" s="16" t="s">
        <v>1</v>
      </c>
      <c r="N116" s="3" t="s">
        <v>2</v>
      </c>
    </row>
    <row r="117" spans="1:14" x14ac:dyDescent="0.2">
      <c r="A117" s="51"/>
      <c r="C117" s="6">
        <f>100/SQRT(2)</f>
        <v>70.710678118654741</v>
      </c>
      <c r="D117" s="8">
        <f>10/SQRT(2)</f>
        <v>7.0710678118654746</v>
      </c>
      <c r="E117" s="9">
        <f>50/SQRT(2)</f>
        <v>35.35533905932737</v>
      </c>
      <c r="F117" s="7"/>
      <c r="G117" s="10"/>
      <c r="H117" s="11"/>
      <c r="I117" s="6">
        <f>50/SQRT(2)</f>
        <v>35.35533905932737</v>
      </c>
      <c r="J117" s="8">
        <f>10/SQRT(2)</f>
        <v>7.0710678118654746</v>
      </c>
      <c r="K117" s="14">
        <f>30/SQRT(2)</f>
        <v>21.213203435596423</v>
      </c>
      <c r="L117" s="15"/>
      <c r="M117" s="16"/>
      <c r="N117" s="3"/>
    </row>
    <row r="118" spans="1:14" x14ac:dyDescent="0.2">
      <c r="A118" s="51"/>
      <c r="B118" s="43">
        <v>32</v>
      </c>
      <c r="C118" s="36">
        <v>0</v>
      </c>
      <c r="D118" s="37">
        <v>0</v>
      </c>
      <c r="E118" s="38">
        <v>0</v>
      </c>
      <c r="F118" s="39">
        <v>0</v>
      </c>
      <c r="G118" s="40">
        <v>0</v>
      </c>
      <c r="H118" s="41">
        <v>0</v>
      </c>
      <c r="I118" s="36">
        <v>0</v>
      </c>
      <c r="J118" s="37">
        <v>0</v>
      </c>
      <c r="K118" s="42">
        <v>0</v>
      </c>
      <c r="L118" s="44">
        <v>0</v>
      </c>
      <c r="M118" s="45">
        <v>0</v>
      </c>
      <c r="N118" s="46">
        <v>0</v>
      </c>
    </row>
    <row r="119" spans="1:14" x14ac:dyDescent="0.2">
      <c r="A119" s="51"/>
      <c r="B119" s="24">
        <v>64</v>
      </c>
      <c r="C119" s="28">
        <v>1.63189129785756E-12</v>
      </c>
      <c r="D119" s="29">
        <v>3.9313945669480497E-3</v>
      </c>
      <c r="E119" s="30">
        <v>0.13488344879509001</v>
      </c>
      <c r="F119" s="48">
        <v>1.9924311309645386E-13</v>
      </c>
      <c r="G119" s="31">
        <v>5.353707939350083E-2</v>
      </c>
      <c r="H119" s="32">
        <v>0.28378399417489164</v>
      </c>
      <c r="I119" s="28">
        <v>1.6057649593450601E-12</v>
      </c>
      <c r="J119" s="29">
        <v>9.7168291946573004E-3</v>
      </c>
      <c r="K119" s="30">
        <v>4.88980812312323E-2</v>
      </c>
      <c r="L119" s="48">
        <v>2.0465969891549083E-13</v>
      </c>
      <c r="M119" s="31">
        <v>6.6957797718573048E-2</v>
      </c>
      <c r="N119" s="32">
        <v>0.14201703368226581</v>
      </c>
    </row>
    <row r="120" spans="1:14" x14ac:dyDescent="0.2">
      <c r="A120" s="51"/>
      <c r="B120" s="24">
        <v>128</v>
      </c>
      <c r="C120" s="28">
        <v>1.5937066492623699E-12</v>
      </c>
      <c r="D120" s="29">
        <v>5.0619104774896097E-3</v>
      </c>
      <c r="E120" s="30">
        <v>0.17240943199085701</v>
      </c>
      <c r="F120" s="48">
        <v>1.6768109752378498E-13</v>
      </c>
      <c r="G120" s="31">
        <v>8.0306346463911951E-2</v>
      </c>
      <c r="H120" s="32">
        <v>0.42550240154217778</v>
      </c>
      <c r="I120" s="28">
        <v>1.54949284562584E-12</v>
      </c>
      <c r="J120" s="29">
        <v>1.16686944682528E-2</v>
      </c>
      <c r="K120" s="30">
        <v>5.9091165781095703E-2</v>
      </c>
      <c r="L120" s="48">
        <v>1.7393924488212888E-13</v>
      </c>
      <c r="M120" s="31">
        <v>0.10042634512889806</v>
      </c>
      <c r="N120" s="32">
        <v>0.21297467671003581</v>
      </c>
    </row>
    <row r="121" spans="1:14" x14ac:dyDescent="0.2">
      <c r="A121" s="52"/>
      <c r="B121" s="25">
        <v>256</v>
      </c>
      <c r="C121" s="33">
        <v>1.6117941143864099E-12</v>
      </c>
      <c r="D121" s="34">
        <v>5.4190806095841997E-3</v>
      </c>
      <c r="E121" s="35">
        <v>0.18374949901080301</v>
      </c>
      <c r="F121" s="48">
        <v>1.5464774579881832E-13</v>
      </c>
      <c r="G121" s="31">
        <v>9.3691357826592769E-2</v>
      </c>
      <c r="H121" s="32">
        <v>0.49634441626723053</v>
      </c>
      <c r="I121" s="33">
        <v>1.56356087405564E-12</v>
      </c>
      <c r="J121" s="34">
        <v>1.19209726100842E-2</v>
      </c>
      <c r="K121" s="35">
        <v>6.0641242339650202E-2</v>
      </c>
      <c r="L121" s="48">
        <v>1.5791812178925526E-13</v>
      </c>
      <c r="M121" s="31">
        <v>0.11715839980855221</v>
      </c>
      <c r="N121" s="32">
        <v>0.24844387055075359</v>
      </c>
    </row>
    <row r="125" spans="1:14" x14ac:dyDescent="0.2">
      <c r="B125" s="1"/>
    </row>
    <row r="128" spans="1:14" x14ac:dyDescent="0.2">
      <c r="B128" s="1"/>
    </row>
    <row r="132" spans="2:2" x14ac:dyDescent="0.2">
      <c r="B132" s="1"/>
    </row>
    <row r="135" spans="2:2" x14ac:dyDescent="0.2">
      <c r="B135" s="1"/>
    </row>
  </sheetData>
  <mergeCells count="32">
    <mergeCell ref="I6:N6"/>
    <mergeCell ref="C41:N41"/>
    <mergeCell ref="C42:H42"/>
    <mergeCell ref="I42:N42"/>
    <mergeCell ref="C43:E43"/>
    <mergeCell ref="F43:H43"/>
    <mergeCell ref="I43:K43"/>
    <mergeCell ref="L43:N43"/>
    <mergeCell ref="A5:A13"/>
    <mergeCell ref="A41:A49"/>
    <mergeCell ref="A79:A88"/>
    <mergeCell ref="C79:N79"/>
    <mergeCell ref="C80:H80"/>
    <mergeCell ref="I80:N80"/>
    <mergeCell ref="C81:E81"/>
    <mergeCell ref="F81:H81"/>
    <mergeCell ref="I81:K81"/>
    <mergeCell ref="L81:N81"/>
    <mergeCell ref="C5:N5"/>
    <mergeCell ref="C7:E7"/>
    <mergeCell ref="F7:H7"/>
    <mergeCell ref="I7:K7"/>
    <mergeCell ref="L7:N7"/>
    <mergeCell ref="C6:H6"/>
    <mergeCell ref="A113:A121"/>
    <mergeCell ref="C113:N113"/>
    <mergeCell ref="C114:H114"/>
    <mergeCell ref="I114:N114"/>
    <mergeCell ref="C115:E115"/>
    <mergeCell ref="F115:H115"/>
    <mergeCell ref="I115:K115"/>
    <mergeCell ref="L115:N11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hrxu@student.ubc.ca</dc:creator>
  <cp:lastModifiedBy>hrxu@student.ubc.ca</cp:lastModifiedBy>
  <dcterms:created xsi:type="dcterms:W3CDTF">2026-07-30T18:17:55Z</dcterms:created>
  <dcterms:modified xsi:type="dcterms:W3CDTF">2026-08-17T21:48:29Z</dcterms:modified>
</cp:coreProperties>
</file>